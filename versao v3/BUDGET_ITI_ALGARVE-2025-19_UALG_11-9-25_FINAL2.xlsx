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oelho\Documents\CM_SBA\Documentos plataforma\"/>
    </mc:Choice>
  </mc:AlternateContent>
  <bookViews>
    <workbookView xWindow="0" yWindow="0" windowWidth="10600" windowHeight="4090" tabRatio="744" firstSheet="2" activeTab="10"/>
  </bookViews>
  <sheets>
    <sheet name="2.Equipa de Investigação" sheetId="8" state="hidden" r:id="rId1"/>
    <sheet name="RESUMO" sheetId="5" r:id="rId2"/>
    <sheet name="ATIVIDADES" sheetId="13" r:id="rId3"/>
    <sheet name="CRONOGRAMA" sheetId="7" r:id="rId4"/>
    <sheet name="RH_BOLSEIROS" sheetId="14" r:id="rId5"/>
    <sheet name="RH_CONTRATOS" sheetId="15" r:id="rId6"/>
    <sheet name="RH_EQUIPA" sheetId="1" r:id="rId7"/>
    <sheet name="RH_ETI_Atividade" sheetId="16" r:id="rId8"/>
    <sheet name="RH_ETI_QUADROS" sheetId="19" r:id="rId9"/>
    <sheet name="Equipamento" sheetId="20" r:id="rId10"/>
    <sheet name="BUDGET" sheetId="11" r:id="rId11"/>
    <sheet name="Orçamento" sheetId="4" state="hidden" r:id="rId12"/>
    <sheet name="Valores bolsas e 57_2016" sheetId="2" state="hidden" r:id="rId13"/>
  </sheets>
  <externalReferences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7" hidden="1">RH_ETI_Atividade!$A$14:$AQ$120</definedName>
    <definedName name="_xlnm._FilterDatabase" localSheetId="12" hidden="1">'Valores bolsas e 57_2016'!$A$1:$A$9</definedName>
    <definedName name="Actividade">'[1]Listas para formulário'!$G$2:$G$9</definedName>
    <definedName name="Ambito">[2]Tabelas!$AG$1:$AG$5</definedName>
    <definedName name="_xlnm.Print_Area" localSheetId="2">ATIVIDADES!$B$14:$O$28</definedName>
    <definedName name="_xlnm.Print_Area" localSheetId="10">BUDGET!$A$1:$H$48</definedName>
    <definedName name="_xlnm.Print_Area" localSheetId="11">Orçamento!$A$1:$H$49</definedName>
    <definedName name="_xlnm.Print_Area" localSheetId="1">RESUMO!$B$17:$P$47</definedName>
    <definedName name="_xlnm.Print_Area" localSheetId="12">'Valores bolsas e 57_2016'!#REF!</definedName>
    <definedName name="Bolsas_de_Iniciação_Científica__BIC">'Valores bolsas e 57_2016'!$A$1:$B$9</definedName>
    <definedName name="Classificação_das_despesas">'[1]Listas para formulário'!$A$2:$A$15</definedName>
    <definedName name="Estabelecimento">'[1]Listas para formulário'!$E$2:$E$4</definedName>
    <definedName name="GeneroList">[3]dados_aux!$B$42:$B$45</definedName>
    <definedName name="lista">'Valores bolsas e 57_2016'!$A$1:$A$9</definedName>
    <definedName name="Lista2" localSheetId="10">'Valores bolsas e 57_2016'!#REF!</definedName>
    <definedName name="Lista2" localSheetId="11">'Valores bolsas e 57_2016'!#REF!</definedName>
    <definedName name="Lista2">'Valores bolsas e 57_2016'!#REF!</definedName>
    <definedName name="listaB">'Valores bolsas e 57_2016'!$A$1:$B$9</definedName>
    <definedName name="Listas">[4]Folha1!$A$18:$A$90</definedName>
    <definedName name="LISTAZ">[5]Folha1!$A$18:$A$90</definedName>
    <definedName name="RespostaList">[3]dados_aux!$B$48:$B$50</definedName>
    <definedName name="RHExistNivelQualificList">[3]dados_aux!$B$100:$B$108</definedName>
    <definedName name="S_N">[2]Tabelas!$AF$1:$AF$2</definedName>
    <definedName name="SituacaoActual">[2]Tabelas!$AH$1:$AH$3</definedName>
    <definedName name="SNC">'[1]Listas para formulário'!$C$2:$C$23</definedName>
    <definedName name="Tipo_de_RH">[3]dados_aux!$B$82:$B$97</definedName>
    <definedName name="TipodeProteccao">[2]Tabelas!$AC$1:$AC$6</definedName>
    <definedName name="Z_6CC93A5E_F839_4C58_9E99_4A0BBAD0BD40_.wvu.PrintArea" localSheetId="2" hidden="1">ATIVIDADES!$C$9:$O$28</definedName>
    <definedName name="Z_6CC93A5E_F839_4C58_9E99_4A0BBAD0BD40_.wvu.PrintArea" localSheetId="1" hidden="1">RESUMO!$C$9:$P$47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9" l="1"/>
  <c r="AP61" i="16"/>
  <c r="AK81" i="20" l="1"/>
  <c r="BE82" i="20" s="1"/>
  <c r="BE83" i="20" s="1"/>
  <c r="AJ81" i="20"/>
  <c r="AI81" i="20"/>
  <c r="AJ78" i="20"/>
  <c r="AK78" i="20" s="1"/>
  <c r="AX78" i="20" s="1"/>
  <c r="AI78" i="20"/>
  <c r="AJ75" i="20"/>
  <c r="AK75" i="20" s="1"/>
  <c r="AI75" i="20"/>
  <c r="AJ72" i="20"/>
  <c r="AK72" i="20" s="1"/>
  <c r="AX72" i="20" s="1"/>
  <c r="AI72" i="20"/>
  <c r="AJ69" i="20"/>
  <c r="AK69" i="20" s="1"/>
  <c r="AI69" i="20"/>
  <c r="AJ66" i="20"/>
  <c r="AK66" i="20" s="1"/>
  <c r="AI66" i="20"/>
  <c r="AJ63" i="20"/>
  <c r="AI63" i="20"/>
  <c r="AJ60" i="20"/>
  <c r="AK60" i="20" s="1"/>
  <c r="AI60" i="20"/>
  <c r="AJ57" i="20"/>
  <c r="AI57" i="20"/>
  <c r="AJ54" i="20"/>
  <c r="AK54" i="20" s="1"/>
  <c r="AI54" i="20"/>
  <c r="AJ51" i="20"/>
  <c r="AI51" i="20"/>
  <c r="AJ48" i="20"/>
  <c r="AK48" i="20" s="1"/>
  <c r="AI48" i="20"/>
  <c r="AJ45" i="20"/>
  <c r="AI45" i="20"/>
  <c r="AJ42" i="20"/>
  <c r="AK42" i="20" s="1"/>
  <c r="AI42" i="20"/>
  <c r="AJ39" i="20"/>
  <c r="AI39" i="20"/>
  <c r="M38" i="20"/>
  <c r="N38" i="20" s="1"/>
  <c r="K38" i="20"/>
  <c r="R38" i="20" s="1"/>
  <c r="G38" i="20"/>
  <c r="E38" i="20"/>
  <c r="Q38" i="20" s="1"/>
  <c r="M37" i="20"/>
  <c r="N37" i="20" s="1"/>
  <c r="K37" i="20"/>
  <c r="R37" i="20" s="1"/>
  <c r="G37" i="20"/>
  <c r="E37" i="20"/>
  <c r="AJ36" i="20"/>
  <c r="AI36" i="20"/>
  <c r="M36" i="20"/>
  <c r="N36" i="20" s="1"/>
  <c r="K36" i="20"/>
  <c r="R36" i="20" s="1"/>
  <c r="G36" i="20"/>
  <c r="E36" i="20"/>
  <c r="M35" i="20"/>
  <c r="N35" i="20" s="1"/>
  <c r="K35" i="20"/>
  <c r="R35" i="20" s="1"/>
  <c r="G35" i="20"/>
  <c r="E35" i="20"/>
  <c r="Q35" i="20" s="1"/>
  <c r="R34" i="20"/>
  <c r="M34" i="20"/>
  <c r="N34" i="20" s="1"/>
  <c r="K34" i="20"/>
  <c r="G34" i="20"/>
  <c r="E34" i="20"/>
  <c r="P34" i="20" s="1"/>
  <c r="AJ33" i="20"/>
  <c r="AI33" i="20"/>
  <c r="AC33" i="20"/>
  <c r="M33" i="20"/>
  <c r="N33" i="20" s="1"/>
  <c r="K33" i="20"/>
  <c r="R33" i="20" s="1"/>
  <c r="G33" i="20"/>
  <c r="E33" i="20"/>
  <c r="P33" i="20" s="1"/>
  <c r="AC32" i="20"/>
  <c r="M32" i="20"/>
  <c r="N32" i="20" s="1"/>
  <c r="K32" i="20"/>
  <c r="R32" i="20" s="1"/>
  <c r="G32" i="20"/>
  <c r="E32" i="20"/>
  <c r="Q32" i="20" s="1"/>
  <c r="AC31" i="20"/>
  <c r="M31" i="20"/>
  <c r="N31" i="20" s="1"/>
  <c r="K31" i="20"/>
  <c r="R31" i="20" s="1"/>
  <c r="G31" i="20"/>
  <c r="E31" i="20"/>
  <c r="O31" i="20" s="1"/>
  <c r="AJ30" i="20"/>
  <c r="AK30" i="20" s="1"/>
  <c r="BC31" i="20" s="1"/>
  <c r="BC32" i="20" s="1"/>
  <c r="AI30" i="20"/>
  <c r="AC30" i="20"/>
  <c r="M30" i="20"/>
  <c r="N30" i="20" s="1"/>
  <c r="K30" i="20"/>
  <c r="R30" i="20" s="1"/>
  <c r="G30" i="20"/>
  <c r="E30" i="20"/>
  <c r="Q30" i="20" s="1"/>
  <c r="AC29" i="20"/>
  <c r="M29" i="20"/>
  <c r="N29" i="20" s="1"/>
  <c r="K29" i="20"/>
  <c r="R29" i="20" s="1"/>
  <c r="G29" i="20"/>
  <c r="E29" i="20"/>
  <c r="Q29" i="20" s="1"/>
  <c r="AC28" i="20"/>
  <c r="M28" i="20"/>
  <c r="N28" i="20" s="1"/>
  <c r="K28" i="20"/>
  <c r="R28" i="20" s="1"/>
  <c r="G28" i="20"/>
  <c r="E28" i="20"/>
  <c r="AJ27" i="20"/>
  <c r="AI27" i="20"/>
  <c r="AC27" i="20"/>
  <c r="M27" i="20"/>
  <c r="N27" i="20" s="1"/>
  <c r="K27" i="20"/>
  <c r="R27" i="20" s="1"/>
  <c r="G27" i="20"/>
  <c r="E27" i="20"/>
  <c r="Q27" i="20" s="1"/>
  <c r="AC26" i="20"/>
  <c r="M26" i="20"/>
  <c r="N26" i="20" s="1"/>
  <c r="K26" i="20"/>
  <c r="R26" i="20" s="1"/>
  <c r="G26" i="20"/>
  <c r="E26" i="20"/>
  <c r="Q26" i="20" s="1"/>
  <c r="AC25" i="20"/>
  <c r="M25" i="20"/>
  <c r="N25" i="20" s="1"/>
  <c r="K25" i="20"/>
  <c r="R25" i="20" s="1"/>
  <c r="G25" i="20"/>
  <c r="E25" i="20"/>
  <c r="Q25" i="20" s="1"/>
  <c r="AJ24" i="20"/>
  <c r="AI24" i="20"/>
  <c r="AC24" i="20"/>
  <c r="M24" i="20"/>
  <c r="N24" i="20" s="1"/>
  <c r="K24" i="20"/>
  <c r="R24" i="20" s="1"/>
  <c r="G24" i="20"/>
  <c r="E24" i="20"/>
  <c r="AC23" i="20"/>
  <c r="M23" i="20"/>
  <c r="N23" i="20" s="1"/>
  <c r="K23" i="20"/>
  <c r="R23" i="20" s="1"/>
  <c r="G23" i="20"/>
  <c r="E23" i="20"/>
  <c r="P23" i="20" s="1"/>
  <c r="AC22" i="20"/>
  <c r="M22" i="20"/>
  <c r="K22" i="20"/>
  <c r="G22" i="20"/>
  <c r="AJ21" i="20"/>
  <c r="AK21" i="20" s="1"/>
  <c r="AI21" i="20"/>
  <c r="AC21" i="20"/>
  <c r="M21" i="20"/>
  <c r="K21" i="20"/>
  <c r="G21" i="20"/>
  <c r="M20" i="20"/>
  <c r="K20" i="20"/>
  <c r="G20" i="20"/>
  <c r="M19" i="20"/>
  <c r="K19" i="20"/>
  <c r="G19" i="20"/>
  <c r="M18" i="20"/>
  <c r="K18" i="20"/>
  <c r="G18" i="20"/>
  <c r="E18" i="20"/>
  <c r="S16" i="20"/>
  <c r="S23" i="20" s="1"/>
  <c r="K10" i="20"/>
  <c r="J10" i="20"/>
  <c r="AX48" i="20" l="1"/>
  <c r="BH48" i="20"/>
  <c r="BB49" i="20"/>
  <c r="BB50" i="20" s="1"/>
  <c r="AZ49" i="20"/>
  <c r="AZ50" i="20" s="1"/>
  <c r="AV48" i="20"/>
  <c r="AP49" i="20"/>
  <c r="AP50" i="20" s="1"/>
  <c r="BE70" i="20"/>
  <c r="BE71" i="20" s="1"/>
  <c r="AP69" i="20"/>
  <c r="AX70" i="20"/>
  <c r="AX71" i="20" s="1"/>
  <c r="AV70" i="20"/>
  <c r="AV71" i="20" s="1"/>
  <c r="BE69" i="20"/>
  <c r="BF69" i="20"/>
  <c r="BC69" i="20"/>
  <c r="BB69" i="20"/>
  <c r="BH70" i="20"/>
  <c r="BH71" i="20" s="1"/>
  <c r="BF70" i="20"/>
  <c r="BF71" i="20" s="1"/>
  <c r="BD69" i="20"/>
  <c r="AT69" i="20"/>
  <c r="AS69" i="20"/>
  <c r="AR69" i="20"/>
  <c r="BG70" i="20"/>
  <c r="BG71" i="20" s="1"/>
  <c r="BE81" i="20"/>
  <c r="S18" i="20"/>
  <c r="BE76" i="20"/>
  <c r="BE77" i="20" s="1"/>
  <c r="AX76" i="20"/>
  <c r="AX77" i="20" s="1"/>
  <c r="AR75" i="20"/>
  <c r="AQ75" i="20"/>
  <c r="AV76" i="20"/>
  <c r="AV77" i="20" s="1"/>
  <c r="AP75" i="20"/>
  <c r="AU76" i="20"/>
  <c r="AU77" i="20" s="1"/>
  <c r="AT76" i="20"/>
  <c r="AT77" i="20" s="1"/>
  <c r="BF75" i="20"/>
  <c r="BE75" i="20"/>
  <c r="BD75" i="20"/>
  <c r="BC75" i="20"/>
  <c r="BG76" i="20"/>
  <c r="BG77" i="20" s="1"/>
  <c r="AT75" i="20"/>
  <c r="BH76" i="20"/>
  <c r="BH77" i="20" s="1"/>
  <c r="BB75" i="20"/>
  <c r="BF76" i="20"/>
  <c r="BF77" i="20" s="1"/>
  <c r="AS75" i="20"/>
  <c r="AW76" i="20"/>
  <c r="AW77" i="20" s="1"/>
  <c r="BD22" i="20"/>
  <c r="BD23" i="20" s="1"/>
  <c r="BD21" i="20"/>
  <c r="BC21" i="20"/>
  <c r="BG22" i="20"/>
  <c r="BG23" i="20" s="1"/>
  <c r="BB21" i="20"/>
  <c r="BF22" i="20"/>
  <c r="BF23" i="20" s="1"/>
  <c r="AR21" i="20"/>
  <c r="BE22" i="20"/>
  <c r="BE23" i="20" s="1"/>
  <c r="AQ21" i="20"/>
  <c r="AU22" i="20"/>
  <c r="AU23" i="20" s="1"/>
  <c r="AP21" i="20"/>
  <c r="AT22" i="20"/>
  <c r="AT23" i="20" s="1"/>
  <c r="AS22" i="20"/>
  <c r="AS23" i="20" s="1"/>
  <c r="AP43" i="20"/>
  <c r="AP44" i="20" s="1"/>
  <c r="AX42" i="20"/>
  <c r="BB43" i="20"/>
  <c r="BB44" i="20" s="1"/>
  <c r="AZ43" i="20"/>
  <c r="AZ44" i="20" s="1"/>
  <c r="BH42" i="20"/>
  <c r="S35" i="20"/>
  <c r="AU82" i="20"/>
  <c r="AU83" i="20" s="1"/>
  <c r="AW82" i="20"/>
  <c r="AW83" i="20" s="1"/>
  <c r="O32" i="20"/>
  <c r="AQ81" i="20"/>
  <c r="AM21" i="20"/>
  <c r="S25" i="20"/>
  <c r="AS81" i="20"/>
  <c r="BF82" i="20"/>
  <c r="BF83" i="20" s="1"/>
  <c r="P27" i="20"/>
  <c r="AR81" i="20"/>
  <c r="AX82" i="20"/>
  <c r="AX83" i="20" s="1"/>
  <c r="Q34" i="20"/>
  <c r="O38" i="20"/>
  <c r="AT81" i="20"/>
  <c r="BG82" i="20"/>
  <c r="BG83" i="20" s="1"/>
  <c r="BB81" i="20"/>
  <c r="BH82" i="20"/>
  <c r="BH83" i="20" s="1"/>
  <c r="P31" i="20"/>
  <c r="AT70" i="20"/>
  <c r="AT71" i="20" s="1"/>
  <c r="BC81" i="20"/>
  <c r="S21" i="20"/>
  <c r="S20" i="20"/>
  <c r="AU70" i="20"/>
  <c r="AU71" i="20" s="1"/>
  <c r="BD81" i="20"/>
  <c r="O30" i="20"/>
  <c r="AQ69" i="20"/>
  <c r="AW70" i="20"/>
  <c r="AW71" i="20" s="1"/>
  <c r="BF81" i="20"/>
  <c r="AT82" i="20"/>
  <c r="AT83" i="20" s="1"/>
  <c r="AP81" i="20"/>
  <c r="AV82" i="20"/>
  <c r="AV83" i="20" s="1"/>
  <c r="O29" i="20"/>
  <c r="P29" i="20"/>
  <c r="P30" i="20"/>
  <c r="Q31" i="20"/>
  <c r="P32" i="20"/>
  <c r="Q33" i="20"/>
  <c r="P38" i="20"/>
  <c r="O27" i="20"/>
  <c r="O34" i="20"/>
  <c r="Q23" i="20"/>
  <c r="Q37" i="20"/>
  <c r="P37" i="20"/>
  <c r="O37" i="20"/>
  <c r="AY30" i="20"/>
  <c r="BB31" i="20"/>
  <c r="BB32" i="20" s="1"/>
  <c r="AY55" i="20"/>
  <c r="AY56" i="20" s="1"/>
  <c r="BG54" i="20"/>
  <c r="AU54" i="20"/>
  <c r="AX55" i="20"/>
  <c r="AX56" i="20" s="1"/>
  <c r="BF54" i="20"/>
  <c r="AT54" i="20"/>
  <c r="AW55" i="20"/>
  <c r="AW56" i="20" s="1"/>
  <c r="BE54" i="20"/>
  <c r="AS54" i="20"/>
  <c r="BH55" i="20"/>
  <c r="BH56" i="20" s="1"/>
  <c r="AV55" i="20"/>
  <c r="AV56" i="20" s="1"/>
  <c r="BD54" i="20"/>
  <c r="AR54" i="20"/>
  <c r="BG55" i="20"/>
  <c r="BG56" i="20" s="1"/>
  <c r="AU55" i="20"/>
  <c r="AU56" i="20" s="1"/>
  <c r="BC54" i="20"/>
  <c r="AQ54" i="20"/>
  <c r="BF55" i="20"/>
  <c r="BF56" i="20" s="1"/>
  <c r="AT55" i="20"/>
  <c r="AT56" i="20" s="1"/>
  <c r="BB54" i="20"/>
  <c r="AP54" i="20"/>
  <c r="BE55" i="20"/>
  <c r="BE56" i="20" s="1"/>
  <c r="AS55" i="20"/>
  <c r="AS56" i="20" s="1"/>
  <c r="BA54" i="20"/>
  <c r="AO54" i="20"/>
  <c r="BD55" i="20"/>
  <c r="BD56" i="20" s="1"/>
  <c r="AR55" i="20"/>
  <c r="AR56" i="20" s="1"/>
  <c r="AZ54" i="20"/>
  <c r="BC55" i="20"/>
  <c r="BC56" i="20" s="1"/>
  <c r="AQ55" i="20"/>
  <c r="AQ56" i="20" s="1"/>
  <c r="AY54" i="20"/>
  <c r="AL54" i="20"/>
  <c r="AM54" i="20" s="1"/>
  <c r="BA55" i="20"/>
  <c r="BA56" i="20" s="1"/>
  <c r="AO55" i="20"/>
  <c r="AW54" i="20"/>
  <c r="AP55" i="20"/>
  <c r="AP56" i="20" s="1"/>
  <c r="BB55" i="20"/>
  <c r="BB56" i="20" s="1"/>
  <c r="AZ55" i="20"/>
  <c r="AZ56" i="20" s="1"/>
  <c r="BH54" i="20"/>
  <c r="AX54" i="20"/>
  <c r="AZ30" i="20"/>
  <c r="Q36" i="20"/>
  <c r="P36" i="20"/>
  <c r="O36" i="20"/>
  <c r="AV54" i="20"/>
  <c r="S19" i="20"/>
  <c r="AK36" i="20"/>
  <c r="Q28" i="20"/>
  <c r="P28" i="20"/>
  <c r="O28" i="20"/>
  <c r="AY61" i="20"/>
  <c r="AY62" i="20" s="1"/>
  <c r="BG60" i="20"/>
  <c r="AU60" i="20"/>
  <c r="AX61" i="20"/>
  <c r="AX62" i="20" s="1"/>
  <c r="BF60" i="20"/>
  <c r="AT60" i="20"/>
  <c r="AW61" i="20"/>
  <c r="AW62" i="20" s="1"/>
  <c r="BE60" i="20"/>
  <c r="AS60" i="20"/>
  <c r="BH61" i="20"/>
  <c r="BH62" i="20" s="1"/>
  <c r="AV61" i="20"/>
  <c r="AV62" i="20" s="1"/>
  <c r="BD60" i="20"/>
  <c r="AR60" i="20"/>
  <c r="BG61" i="20"/>
  <c r="BG62" i="20" s="1"/>
  <c r="AU61" i="20"/>
  <c r="AU62" i="20" s="1"/>
  <c r="BC60" i="20"/>
  <c r="AQ60" i="20"/>
  <c r="BF61" i="20"/>
  <c r="BF62" i="20" s="1"/>
  <c r="AT61" i="20"/>
  <c r="AT62" i="20" s="1"/>
  <c r="BB60" i="20"/>
  <c r="AP60" i="20"/>
  <c r="BE61" i="20"/>
  <c r="BE62" i="20" s="1"/>
  <c r="AS61" i="20"/>
  <c r="AS62" i="20" s="1"/>
  <c r="BA60" i="20"/>
  <c r="AO60" i="20"/>
  <c r="BD61" i="20"/>
  <c r="BD62" i="20" s="1"/>
  <c r="AR61" i="20"/>
  <c r="AR62" i="20" s="1"/>
  <c r="AZ60" i="20"/>
  <c r="BC61" i="20"/>
  <c r="BC62" i="20" s="1"/>
  <c r="AQ61" i="20"/>
  <c r="AQ62" i="20" s="1"/>
  <c r="AY60" i="20"/>
  <c r="AL60" i="20"/>
  <c r="AM60" i="20" s="1"/>
  <c r="BA61" i="20"/>
  <c r="BA62" i="20" s="1"/>
  <c r="AO61" i="20"/>
  <c r="AW60" i="20"/>
  <c r="BB61" i="20"/>
  <c r="BB62" i="20" s="1"/>
  <c r="AZ61" i="20"/>
  <c r="AZ62" i="20" s="1"/>
  <c r="AP61" i="20"/>
  <c r="AP62" i="20" s="1"/>
  <c r="BH60" i="20"/>
  <c r="AX60" i="20"/>
  <c r="AV60" i="20"/>
  <c r="BA31" i="20"/>
  <c r="BA32" i="20" s="1"/>
  <c r="AX30" i="20"/>
  <c r="AT31" i="20"/>
  <c r="AT32" i="20" s="1"/>
  <c r="AZ31" i="20"/>
  <c r="AZ32" i="20" s="1"/>
  <c r="AW30" i="20"/>
  <c r="BA30" i="20"/>
  <c r="AY31" i="20"/>
  <c r="AY32" i="20" s="1"/>
  <c r="BH30" i="20"/>
  <c r="AV30" i="20"/>
  <c r="BC30" i="20"/>
  <c r="AX31" i="20"/>
  <c r="AX32" i="20" s="1"/>
  <c r="BG30" i="20"/>
  <c r="AU30" i="20"/>
  <c r="AW31" i="20"/>
  <c r="AW32" i="20" s="1"/>
  <c r="BF30" i="20"/>
  <c r="AT30" i="20"/>
  <c r="BH31" i="20"/>
  <c r="BH32" i="20" s="1"/>
  <c r="AV31" i="20"/>
  <c r="AV32" i="20" s="1"/>
  <c r="BE30" i="20"/>
  <c r="AS30" i="20"/>
  <c r="BD31" i="20"/>
  <c r="BD32" i="20" s="1"/>
  <c r="BG31" i="20"/>
  <c r="BG32" i="20" s="1"/>
  <c r="AU31" i="20"/>
  <c r="AU32" i="20" s="1"/>
  <c r="BD30" i="20"/>
  <c r="BF31" i="20"/>
  <c r="BF32" i="20" s="1"/>
  <c r="BE31" i="20"/>
  <c r="BE32" i="20" s="1"/>
  <c r="AS31" i="20"/>
  <c r="AS32" i="20" s="1"/>
  <c r="BB30" i="20"/>
  <c r="AO30" i="20"/>
  <c r="AL30" i="20"/>
  <c r="AM30" i="20" s="1"/>
  <c r="AO31" i="20" s="1"/>
  <c r="S26" i="20"/>
  <c r="S24" i="20"/>
  <c r="S37" i="20"/>
  <c r="S28" i="20"/>
  <c r="S36" i="20"/>
  <c r="S34" i="20"/>
  <c r="S29" i="20"/>
  <c r="S27" i="20"/>
  <c r="S38" i="20"/>
  <c r="S31" i="20"/>
  <c r="S22" i="20"/>
  <c r="S32" i="20"/>
  <c r="S30" i="20"/>
  <c r="S33" i="20"/>
  <c r="T16" i="20"/>
  <c r="Q24" i="20"/>
  <c r="P24" i="20"/>
  <c r="O24" i="20"/>
  <c r="AK27" i="20"/>
  <c r="AY67" i="20"/>
  <c r="AY68" i="20" s="1"/>
  <c r="BG66" i="20"/>
  <c r="AU66" i="20"/>
  <c r="AX67" i="20"/>
  <c r="AX68" i="20" s="1"/>
  <c r="BF66" i="20"/>
  <c r="AT66" i="20"/>
  <c r="AW67" i="20"/>
  <c r="AW68" i="20" s="1"/>
  <c r="BE66" i="20"/>
  <c r="AS66" i="20"/>
  <c r="BH67" i="20"/>
  <c r="BH68" i="20" s="1"/>
  <c r="AV67" i="20"/>
  <c r="AV68" i="20" s="1"/>
  <c r="BD66" i="20"/>
  <c r="AR66" i="20"/>
  <c r="BG67" i="20"/>
  <c r="BG68" i="20" s="1"/>
  <c r="AU67" i="20"/>
  <c r="AU68" i="20" s="1"/>
  <c r="BC66" i="20"/>
  <c r="AQ66" i="20"/>
  <c r="BF67" i="20"/>
  <c r="BF68" i="20" s="1"/>
  <c r="AT67" i="20"/>
  <c r="AT68" i="20" s="1"/>
  <c r="BB66" i="20"/>
  <c r="AP66" i="20"/>
  <c r="BE67" i="20"/>
  <c r="BE68" i="20" s="1"/>
  <c r="AS67" i="20"/>
  <c r="AS68" i="20" s="1"/>
  <c r="BA66" i="20"/>
  <c r="AO66" i="20"/>
  <c r="BD67" i="20"/>
  <c r="BD68" i="20" s="1"/>
  <c r="AR67" i="20"/>
  <c r="AR68" i="20" s="1"/>
  <c r="AZ66" i="20"/>
  <c r="BC67" i="20"/>
  <c r="BC68" i="20" s="1"/>
  <c r="AQ67" i="20"/>
  <c r="AQ68" i="20" s="1"/>
  <c r="AY66" i="20"/>
  <c r="AL66" i="20"/>
  <c r="AM66" i="20" s="1"/>
  <c r="BA67" i="20"/>
  <c r="BA68" i="20" s="1"/>
  <c r="AO67" i="20"/>
  <c r="AW66" i="20"/>
  <c r="AY73" i="20"/>
  <c r="AY74" i="20" s="1"/>
  <c r="BG72" i="20"/>
  <c r="AU72" i="20"/>
  <c r="AX73" i="20"/>
  <c r="AX74" i="20" s="1"/>
  <c r="BF72" i="20"/>
  <c r="AT72" i="20"/>
  <c r="AW73" i="20"/>
  <c r="AW74" i="20" s="1"/>
  <c r="BE72" i="20"/>
  <c r="AS72" i="20"/>
  <c r="BH73" i="20"/>
  <c r="BH74" i="20" s="1"/>
  <c r="AV73" i="20"/>
  <c r="AV74" i="20" s="1"/>
  <c r="BD72" i="20"/>
  <c r="AR72" i="20"/>
  <c r="BG73" i="20"/>
  <c r="BG74" i="20" s="1"/>
  <c r="AU73" i="20"/>
  <c r="AU74" i="20" s="1"/>
  <c r="BC72" i="20"/>
  <c r="AQ72" i="20"/>
  <c r="BF73" i="20"/>
  <c r="BF74" i="20" s="1"/>
  <c r="AT73" i="20"/>
  <c r="AT74" i="20" s="1"/>
  <c r="BB72" i="20"/>
  <c r="AP72" i="20"/>
  <c r="BE73" i="20"/>
  <c r="BE74" i="20" s="1"/>
  <c r="AS73" i="20"/>
  <c r="AS74" i="20" s="1"/>
  <c r="BA72" i="20"/>
  <c r="AO72" i="20"/>
  <c r="BD73" i="20"/>
  <c r="BD74" i="20" s="1"/>
  <c r="AR73" i="20"/>
  <c r="AR74" i="20" s="1"/>
  <c r="AZ72" i="20"/>
  <c r="BC73" i="20"/>
  <c r="BC74" i="20" s="1"/>
  <c r="AQ73" i="20"/>
  <c r="AQ74" i="20" s="1"/>
  <c r="AY72" i="20"/>
  <c r="AL72" i="20"/>
  <c r="AM72" i="20" s="1"/>
  <c r="BA73" i="20"/>
  <c r="BA74" i="20" s="1"/>
  <c r="AO73" i="20"/>
  <c r="AW72" i="20"/>
  <c r="AY79" i="20"/>
  <c r="AY80" i="20" s="1"/>
  <c r="BG78" i="20"/>
  <c r="AU78" i="20"/>
  <c r="AX79" i="20"/>
  <c r="AX80" i="20" s="1"/>
  <c r="BF78" i="20"/>
  <c r="AT78" i="20"/>
  <c r="AW79" i="20"/>
  <c r="AW80" i="20" s="1"/>
  <c r="BE78" i="20"/>
  <c r="AS78" i="20"/>
  <c r="BH79" i="20"/>
  <c r="BH80" i="20" s="1"/>
  <c r="AV79" i="20"/>
  <c r="AV80" i="20" s="1"/>
  <c r="BD78" i="20"/>
  <c r="AR78" i="20"/>
  <c r="BG79" i="20"/>
  <c r="BG80" i="20" s="1"/>
  <c r="AU79" i="20"/>
  <c r="AU80" i="20" s="1"/>
  <c r="BC78" i="20"/>
  <c r="AQ78" i="20"/>
  <c r="BF79" i="20"/>
  <c r="BF80" i="20" s="1"/>
  <c r="AT79" i="20"/>
  <c r="AT80" i="20" s="1"/>
  <c r="BB78" i="20"/>
  <c r="AP78" i="20"/>
  <c r="BE79" i="20"/>
  <c r="BE80" i="20" s="1"/>
  <c r="AS79" i="20"/>
  <c r="AS80" i="20" s="1"/>
  <c r="BA78" i="20"/>
  <c r="AO78" i="20"/>
  <c r="BD79" i="20"/>
  <c r="BD80" i="20" s="1"/>
  <c r="AR79" i="20"/>
  <c r="AR80" i="20" s="1"/>
  <c r="AZ78" i="20"/>
  <c r="BC79" i="20"/>
  <c r="BC80" i="20" s="1"/>
  <c r="AQ79" i="20"/>
  <c r="AQ80" i="20" s="1"/>
  <c r="AY78" i="20"/>
  <c r="AL78" i="20"/>
  <c r="AM78" i="20" s="1"/>
  <c r="BA79" i="20"/>
  <c r="BA80" i="20" s="1"/>
  <c r="AO79" i="20"/>
  <c r="AW78" i="20"/>
  <c r="AS21" i="20"/>
  <c r="BE21" i="20"/>
  <c r="AV22" i="20"/>
  <c r="AV23" i="20" s="1"/>
  <c r="BH22" i="20"/>
  <c r="BH23" i="20" s="1"/>
  <c r="AV66" i="20"/>
  <c r="AV72" i="20"/>
  <c r="AV78" i="20"/>
  <c r="AX66" i="20"/>
  <c r="E19" i="20"/>
  <c r="AU21" i="20"/>
  <c r="BG21" i="20"/>
  <c r="AX22" i="20"/>
  <c r="AX23" i="20" s="1"/>
  <c r="AK24" i="20"/>
  <c r="BH66" i="20"/>
  <c r="BH72" i="20"/>
  <c r="BH78" i="20"/>
  <c r="AV21" i="20"/>
  <c r="BH21" i="20"/>
  <c r="AY22" i="20"/>
  <c r="AY23" i="20" s="1"/>
  <c r="AP67" i="20"/>
  <c r="AP68" i="20" s="1"/>
  <c r="AP73" i="20"/>
  <c r="AP74" i="20" s="1"/>
  <c r="AP79" i="20"/>
  <c r="AP80" i="20" s="1"/>
  <c r="AT21" i="20"/>
  <c r="AW21" i="20"/>
  <c r="AZ22" i="20"/>
  <c r="AZ23" i="20" s="1"/>
  <c r="O26" i="20"/>
  <c r="AZ67" i="20"/>
  <c r="AZ68" i="20" s="1"/>
  <c r="AZ73" i="20"/>
  <c r="AZ74" i="20" s="1"/>
  <c r="AZ79" i="20"/>
  <c r="AZ80" i="20" s="1"/>
  <c r="AX21" i="20"/>
  <c r="AO22" i="20"/>
  <c r="BA22" i="20"/>
  <c r="BA23" i="20" s="1"/>
  <c r="P26" i="20"/>
  <c r="AK33" i="20"/>
  <c r="BB67" i="20"/>
  <c r="BB68" i="20" s="1"/>
  <c r="BB73" i="20"/>
  <c r="BB74" i="20" s="1"/>
  <c r="BB79" i="20"/>
  <c r="BB80" i="20" s="1"/>
  <c r="BF21" i="20"/>
  <c r="AL21" i="20"/>
  <c r="AY21" i="20"/>
  <c r="AP22" i="20"/>
  <c r="AP23" i="20" s="1"/>
  <c r="BB22" i="20"/>
  <c r="BB23" i="20" s="1"/>
  <c r="O25" i="20"/>
  <c r="O35" i="20"/>
  <c r="AQ22" i="20"/>
  <c r="AQ23" i="20" s="1"/>
  <c r="BC22" i="20"/>
  <c r="BC23" i="20" s="1"/>
  <c r="O23" i="20"/>
  <c r="P25" i="20"/>
  <c r="O33" i="20"/>
  <c r="P35" i="20"/>
  <c r="AY43" i="20"/>
  <c r="AY44" i="20" s="1"/>
  <c r="BG42" i="20"/>
  <c r="AU42" i="20"/>
  <c r="AX43" i="20"/>
  <c r="AX44" i="20" s="1"/>
  <c r="BF42" i="20"/>
  <c r="AT42" i="20"/>
  <c r="AW43" i="20"/>
  <c r="AW44" i="20" s="1"/>
  <c r="BE42" i="20"/>
  <c r="AS42" i="20"/>
  <c r="BH43" i="20"/>
  <c r="BH44" i="20" s="1"/>
  <c r="AV43" i="20"/>
  <c r="AV44" i="20" s="1"/>
  <c r="BD42" i="20"/>
  <c r="AR42" i="20"/>
  <c r="BG43" i="20"/>
  <c r="BG44" i="20" s="1"/>
  <c r="AU43" i="20"/>
  <c r="AU44" i="20" s="1"/>
  <c r="BC42" i="20"/>
  <c r="AQ42" i="20"/>
  <c r="BF43" i="20"/>
  <c r="BF44" i="20" s="1"/>
  <c r="AT43" i="20"/>
  <c r="AT44" i="20" s="1"/>
  <c r="BB42" i="20"/>
  <c r="AP42" i="20"/>
  <c r="BE43" i="20"/>
  <c r="BE44" i="20" s="1"/>
  <c r="AS43" i="20"/>
  <c r="AS44" i="20" s="1"/>
  <c r="BA42" i="20"/>
  <c r="AO42" i="20"/>
  <c r="BD43" i="20"/>
  <c r="BD44" i="20" s="1"/>
  <c r="AR43" i="20"/>
  <c r="AR44" i="20" s="1"/>
  <c r="AZ42" i="20"/>
  <c r="BC43" i="20"/>
  <c r="BC44" i="20" s="1"/>
  <c r="AQ43" i="20"/>
  <c r="AQ44" i="20" s="1"/>
  <c r="AY42" i="20"/>
  <c r="AL42" i="20"/>
  <c r="AM42" i="20" s="1"/>
  <c r="BA43" i="20"/>
  <c r="BA44" i="20" s="1"/>
  <c r="AO43" i="20"/>
  <c r="AW42" i="20"/>
  <c r="AW22" i="20"/>
  <c r="AW23" i="20" s="1"/>
  <c r="AZ21" i="20"/>
  <c r="AO21" i="20"/>
  <c r="BA21" i="20"/>
  <c r="AR22" i="20"/>
  <c r="AR23" i="20" s="1"/>
  <c r="AV42" i="20"/>
  <c r="AY49" i="20"/>
  <c r="AY50" i="20" s="1"/>
  <c r="BG48" i="20"/>
  <c r="AU48" i="20"/>
  <c r="AX49" i="20"/>
  <c r="AX50" i="20" s="1"/>
  <c r="BF48" i="20"/>
  <c r="AT48" i="20"/>
  <c r="AW49" i="20"/>
  <c r="AW50" i="20" s="1"/>
  <c r="BE48" i="20"/>
  <c r="AS48" i="20"/>
  <c r="BH49" i="20"/>
  <c r="BH50" i="20" s="1"/>
  <c r="AV49" i="20"/>
  <c r="AV50" i="20" s="1"/>
  <c r="BD48" i="20"/>
  <c r="AR48" i="20"/>
  <c r="BG49" i="20"/>
  <c r="BG50" i="20" s="1"/>
  <c r="AU49" i="20"/>
  <c r="AU50" i="20" s="1"/>
  <c r="BC48" i="20"/>
  <c r="AQ48" i="20"/>
  <c r="BF49" i="20"/>
  <c r="BF50" i="20" s="1"/>
  <c r="AT49" i="20"/>
  <c r="AT50" i="20" s="1"/>
  <c r="BB48" i="20"/>
  <c r="AP48" i="20"/>
  <c r="BE49" i="20"/>
  <c r="BE50" i="20" s="1"/>
  <c r="AS49" i="20"/>
  <c r="AS50" i="20" s="1"/>
  <c r="BA48" i="20"/>
  <c r="AO48" i="20"/>
  <c r="BD49" i="20"/>
  <c r="BD50" i="20" s="1"/>
  <c r="AR49" i="20"/>
  <c r="AR50" i="20" s="1"/>
  <c r="AZ48" i="20"/>
  <c r="BC49" i="20"/>
  <c r="BC50" i="20" s="1"/>
  <c r="AQ49" i="20"/>
  <c r="AQ50" i="20" s="1"/>
  <c r="AY48" i="20"/>
  <c r="AL48" i="20"/>
  <c r="AM48" i="20" s="1"/>
  <c r="BA49" i="20"/>
  <c r="BA50" i="20" s="1"/>
  <c r="AO49" i="20"/>
  <c r="AW48" i="20"/>
  <c r="AU69" i="20"/>
  <c r="BG69" i="20"/>
  <c r="AY70" i="20"/>
  <c r="AY71" i="20" s="1"/>
  <c r="AU75" i="20"/>
  <c r="BG75" i="20"/>
  <c r="AY76" i="20"/>
  <c r="AY77" i="20" s="1"/>
  <c r="AU81" i="20"/>
  <c r="BG81" i="20"/>
  <c r="AY82" i="20"/>
  <c r="AY83" i="20" s="1"/>
  <c r="AV69" i="20"/>
  <c r="BH69" i="20"/>
  <c r="AZ70" i="20"/>
  <c r="AZ71" i="20" s="1"/>
  <c r="AV75" i="20"/>
  <c r="BH75" i="20"/>
  <c r="AZ76" i="20"/>
  <c r="AZ77" i="20" s="1"/>
  <c r="AV81" i="20"/>
  <c r="BH81" i="20"/>
  <c r="AZ82" i="20"/>
  <c r="AZ83" i="20" s="1"/>
  <c r="AW69" i="20"/>
  <c r="AO70" i="20"/>
  <c r="BA70" i="20"/>
  <c r="BA71" i="20" s="1"/>
  <c r="AW75" i="20"/>
  <c r="AO76" i="20"/>
  <c r="BA76" i="20"/>
  <c r="BA77" i="20" s="1"/>
  <c r="AW81" i="20"/>
  <c r="AO82" i="20"/>
  <c r="BA82" i="20"/>
  <c r="BA83" i="20" s="1"/>
  <c r="AK39" i="20"/>
  <c r="AK45" i="20"/>
  <c r="AK51" i="20"/>
  <c r="AK57" i="20"/>
  <c r="AK63" i="20"/>
  <c r="AX69" i="20"/>
  <c r="AP70" i="20"/>
  <c r="AP71" i="20" s="1"/>
  <c r="BB70" i="20"/>
  <c r="BB71" i="20" s="1"/>
  <c r="AX75" i="20"/>
  <c r="AP76" i="20"/>
  <c r="AP77" i="20" s="1"/>
  <c r="BB76" i="20"/>
  <c r="BB77" i="20" s="1"/>
  <c r="AX81" i="20"/>
  <c r="AP82" i="20"/>
  <c r="AP83" i="20" s="1"/>
  <c r="BB82" i="20"/>
  <c r="BB83" i="20" s="1"/>
  <c r="AL69" i="20"/>
  <c r="AM69" i="20" s="1"/>
  <c r="AY69" i="20"/>
  <c r="AQ70" i="20"/>
  <c r="AQ71" i="20" s="1"/>
  <c r="BC70" i="20"/>
  <c r="BC71" i="20" s="1"/>
  <c r="AL75" i="20"/>
  <c r="AM75" i="20" s="1"/>
  <c r="AY75" i="20"/>
  <c r="AQ76" i="20"/>
  <c r="AQ77" i="20" s="1"/>
  <c r="BC76" i="20"/>
  <c r="BC77" i="20" s="1"/>
  <c r="AL81" i="20"/>
  <c r="AM81" i="20" s="1"/>
  <c r="AY81" i="20"/>
  <c r="AQ82" i="20"/>
  <c r="AQ83" i="20" s="1"/>
  <c r="BC82" i="20"/>
  <c r="BC83" i="20" s="1"/>
  <c r="AZ69" i="20"/>
  <c r="AR70" i="20"/>
  <c r="AR71" i="20" s="1"/>
  <c r="BD70" i="20"/>
  <c r="BD71" i="20" s="1"/>
  <c r="AZ75" i="20"/>
  <c r="AR76" i="20"/>
  <c r="AR77" i="20" s="1"/>
  <c r="BD76" i="20"/>
  <c r="BD77" i="20" s="1"/>
  <c r="AZ81" i="20"/>
  <c r="AR82" i="20"/>
  <c r="AR83" i="20" s="1"/>
  <c r="BD82" i="20"/>
  <c r="BD83" i="20" s="1"/>
  <c r="AO69" i="20"/>
  <c r="BA69" i="20"/>
  <c r="AS70" i="20"/>
  <c r="AS71" i="20" s="1"/>
  <c r="AO75" i="20"/>
  <c r="BA75" i="20"/>
  <c r="AS76" i="20"/>
  <c r="AS77" i="20" s="1"/>
  <c r="AO81" i="20"/>
  <c r="BA81" i="20"/>
  <c r="AS82" i="20"/>
  <c r="AS83" i="20" s="1"/>
  <c r="S39" i="20" l="1"/>
  <c r="D27" i="11" s="1"/>
  <c r="AO32" i="20"/>
  <c r="AP30" i="20"/>
  <c r="AP31" i="20" s="1"/>
  <c r="AO44" i="20"/>
  <c r="BI43" i="20"/>
  <c r="AO83" i="20"/>
  <c r="BI82" i="20"/>
  <c r="BE34" i="20"/>
  <c r="BE35" i="20" s="1"/>
  <c r="BA33" i="20"/>
  <c r="AO33" i="20"/>
  <c r="AX34" i="20"/>
  <c r="AX35" i="20" s="1"/>
  <c r="BH34" i="20"/>
  <c r="BH35" i="20" s="1"/>
  <c r="BD34" i="20"/>
  <c r="BD35" i="20" s="1"/>
  <c r="AZ33" i="20"/>
  <c r="BC34" i="20"/>
  <c r="BC35" i="20" s="1"/>
  <c r="AY33" i="20"/>
  <c r="AL33" i="20"/>
  <c r="AM33" i="20" s="1"/>
  <c r="AO34" i="20" s="1"/>
  <c r="BB34" i="20"/>
  <c r="BB35" i="20" s="1"/>
  <c r="AX33" i="20"/>
  <c r="BA34" i="20"/>
  <c r="BA35" i="20" s="1"/>
  <c r="AW33" i="20"/>
  <c r="AZ34" i="20"/>
  <c r="AZ35" i="20" s="1"/>
  <c r="BH33" i="20"/>
  <c r="AV33" i="20"/>
  <c r="AT33" i="20"/>
  <c r="AY34" i="20"/>
  <c r="AY35" i="20" s="1"/>
  <c r="BG33" i="20"/>
  <c r="AU33" i="20"/>
  <c r="BF33" i="20"/>
  <c r="AW34" i="20"/>
  <c r="AW35" i="20" s="1"/>
  <c r="BE33" i="20"/>
  <c r="AV34" i="20"/>
  <c r="AV35" i="20" s="1"/>
  <c r="BD33" i="20"/>
  <c r="BG34" i="20"/>
  <c r="BG35" i="20" s="1"/>
  <c r="BC33" i="20"/>
  <c r="BF34" i="20"/>
  <c r="BF35" i="20" s="1"/>
  <c r="BB33" i="20"/>
  <c r="AU34" i="20"/>
  <c r="AU35" i="20" s="1"/>
  <c r="AT34" i="20"/>
  <c r="AT35" i="20" s="1"/>
  <c r="AO68" i="20"/>
  <c r="BI67" i="20"/>
  <c r="E20" i="20"/>
  <c r="BE46" i="20"/>
  <c r="BE47" i="20" s="1"/>
  <c r="AS46" i="20"/>
  <c r="AS47" i="20" s="1"/>
  <c r="BA45" i="20"/>
  <c r="AO45" i="20"/>
  <c r="BD46" i="20"/>
  <c r="BD47" i="20" s="1"/>
  <c r="AR46" i="20"/>
  <c r="AR47" i="20" s="1"/>
  <c r="AZ45" i="20"/>
  <c r="BC46" i="20"/>
  <c r="BC47" i="20" s="1"/>
  <c r="AQ46" i="20"/>
  <c r="AQ47" i="20" s="1"/>
  <c r="AY45" i="20"/>
  <c r="AL45" i="20"/>
  <c r="AM45" i="20" s="1"/>
  <c r="BB46" i="20"/>
  <c r="BB47" i="20" s="1"/>
  <c r="AP46" i="20"/>
  <c r="AP47" i="20" s="1"/>
  <c r="AX45" i="20"/>
  <c r="BA46" i="20"/>
  <c r="BA47" i="20" s="1"/>
  <c r="AO46" i="20"/>
  <c r="AW45" i="20"/>
  <c r="AZ46" i="20"/>
  <c r="AZ47" i="20" s="1"/>
  <c r="BH45" i="20"/>
  <c r="AV45" i="20"/>
  <c r="AY46" i="20"/>
  <c r="AY47" i="20" s="1"/>
  <c r="BG45" i="20"/>
  <c r="AU45" i="20"/>
  <c r="AX46" i="20"/>
  <c r="AX47" i="20" s="1"/>
  <c r="BF45" i="20"/>
  <c r="AT45" i="20"/>
  <c r="AW46" i="20"/>
  <c r="AW47" i="20" s="1"/>
  <c r="BE45" i="20"/>
  <c r="AS45" i="20"/>
  <c r="BG46" i="20"/>
  <c r="BG47" i="20" s="1"/>
  <c r="AU46" i="20"/>
  <c r="AU47" i="20" s="1"/>
  <c r="BC45" i="20"/>
  <c r="AQ45" i="20"/>
  <c r="AP45" i="20"/>
  <c r="AV46" i="20"/>
  <c r="AV47" i="20" s="1"/>
  <c r="BH46" i="20"/>
  <c r="BH47" i="20" s="1"/>
  <c r="BF46" i="20"/>
  <c r="BF47" i="20" s="1"/>
  <c r="AT46" i="20"/>
  <c r="AT47" i="20" s="1"/>
  <c r="BD45" i="20"/>
  <c r="BB45" i="20"/>
  <c r="AR45" i="20"/>
  <c r="AO74" i="20"/>
  <c r="BI73" i="20"/>
  <c r="AO77" i="20"/>
  <c r="BI76" i="20"/>
  <c r="BI22" i="20"/>
  <c r="AO23" i="20"/>
  <c r="N18" i="20" s="1"/>
  <c r="AO80" i="20"/>
  <c r="BI79" i="20"/>
  <c r="AO56" i="20"/>
  <c r="BI55" i="20"/>
  <c r="AO50" i="20"/>
  <c r="BI49" i="20"/>
  <c r="AO62" i="20"/>
  <c r="BI61" i="20"/>
  <c r="AY37" i="20"/>
  <c r="AY38" i="20" s="1"/>
  <c r="BG36" i="20"/>
  <c r="AU36" i="20"/>
  <c r="AZ36" i="20"/>
  <c r="AP37" i="20"/>
  <c r="AP38" i="20" s="1"/>
  <c r="AX37" i="20"/>
  <c r="AX38" i="20" s="1"/>
  <c r="BF36" i="20"/>
  <c r="AT36" i="20"/>
  <c r="BD37" i="20"/>
  <c r="BD38" i="20" s="1"/>
  <c r="AW37" i="20"/>
  <c r="AW38" i="20" s="1"/>
  <c r="BE36" i="20"/>
  <c r="AS36" i="20"/>
  <c r="BB37" i="20"/>
  <c r="BB38" i="20" s="1"/>
  <c r="BH37" i="20"/>
  <c r="BH38" i="20" s="1"/>
  <c r="AV37" i="20"/>
  <c r="AV38" i="20" s="1"/>
  <c r="BD36" i="20"/>
  <c r="AR36" i="20"/>
  <c r="BG37" i="20"/>
  <c r="BG38" i="20" s="1"/>
  <c r="AU37" i="20"/>
  <c r="AU38" i="20" s="1"/>
  <c r="BC36" i="20"/>
  <c r="AQ36" i="20"/>
  <c r="BF37" i="20"/>
  <c r="BF38" i="20" s="1"/>
  <c r="AT37" i="20"/>
  <c r="AT38" i="20" s="1"/>
  <c r="BB36" i="20"/>
  <c r="AP36" i="20"/>
  <c r="AR37" i="20"/>
  <c r="AR38" i="20" s="1"/>
  <c r="BE37" i="20"/>
  <c r="BE38" i="20" s="1"/>
  <c r="AS37" i="20"/>
  <c r="AS38" i="20" s="1"/>
  <c r="BA36" i="20"/>
  <c r="AO36" i="20"/>
  <c r="AX36" i="20"/>
  <c r="BC37" i="20"/>
  <c r="BC38" i="20" s="1"/>
  <c r="AQ37" i="20"/>
  <c r="AQ38" i="20" s="1"/>
  <c r="AY36" i="20"/>
  <c r="AL36" i="20"/>
  <c r="AM36" i="20" s="1"/>
  <c r="AZ37" i="20"/>
  <c r="AZ38" i="20" s="1"/>
  <c r="AO37" i="20"/>
  <c r="BA37" i="20"/>
  <c r="BA38" i="20" s="1"/>
  <c r="AV36" i="20"/>
  <c r="BH36" i="20"/>
  <c r="AW36" i="20"/>
  <c r="BE40" i="20"/>
  <c r="BE41" i="20" s="1"/>
  <c r="AS40" i="20"/>
  <c r="AS41" i="20" s="1"/>
  <c r="BA39" i="20"/>
  <c r="AO39" i="20"/>
  <c r="BD40" i="20"/>
  <c r="BD41" i="20" s="1"/>
  <c r="AR40" i="20"/>
  <c r="AR41" i="20" s="1"/>
  <c r="AZ39" i="20"/>
  <c r="BC40" i="20"/>
  <c r="BC41" i="20" s="1"/>
  <c r="AQ40" i="20"/>
  <c r="AQ41" i="20" s="1"/>
  <c r="AY39" i="20"/>
  <c r="AL39" i="20"/>
  <c r="AM39" i="20" s="1"/>
  <c r="BB40" i="20"/>
  <c r="BB41" i="20" s="1"/>
  <c r="AP40" i="20"/>
  <c r="AP41" i="20" s="1"/>
  <c r="AX39" i="20"/>
  <c r="BA40" i="20"/>
  <c r="BA41" i="20" s="1"/>
  <c r="AO40" i="20"/>
  <c r="AW39" i="20"/>
  <c r="AZ40" i="20"/>
  <c r="AZ41" i="20" s="1"/>
  <c r="BH39" i="20"/>
  <c r="AV39" i="20"/>
  <c r="AY40" i="20"/>
  <c r="AY41" i="20" s="1"/>
  <c r="BG39" i="20"/>
  <c r="AU39" i="20"/>
  <c r="AX40" i="20"/>
  <c r="AX41" i="20" s="1"/>
  <c r="AW40" i="20"/>
  <c r="AW41" i="20" s="1"/>
  <c r="BE39" i="20"/>
  <c r="AS39" i="20"/>
  <c r="BG40" i="20"/>
  <c r="BG41" i="20" s="1"/>
  <c r="AU40" i="20"/>
  <c r="AU41" i="20" s="1"/>
  <c r="BC39" i="20"/>
  <c r="AQ39" i="20"/>
  <c r="BB39" i="20"/>
  <c r="AT39" i="20"/>
  <c r="BF40" i="20"/>
  <c r="BF41" i="20" s="1"/>
  <c r="AR39" i="20"/>
  <c r="AP39" i="20"/>
  <c r="BH40" i="20"/>
  <c r="BH41" i="20" s="1"/>
  <c r="AV40" i="20"/>
  <c r="AV41" i="20" s="1"/>
  <c r="AT40" i="20"/>
  <c r="AT41" i="20" s="1"/>
  <c r="BF39" i="20"/>
  <c r="BD39" i="20"/>
  <c r="BE64" i="20"/>
  <c r="BE65" i="20" s="1"/>
  <c r="AS64" i="20"/>
  <c r="AS65" i="20" s="1"/>
  <c r="BA63" i="20"/>
  <c r="AO63" i="20"/>
  <c r="BD64" i="20"/>
  <c r="BD65" i="20" s="1"/>
  <c r="AR64" i="20"/>
  <c r="AR65" i="20" s="1"/>
  <c r="AZ63" i="20"/>
  <c r="BC64" i="20"/>
  <c r="BC65" i="20" s="1"/>
  <c r="AQ64" i="20"/>
  <c r="AQ65" i="20" s="1"/>
  <c r="AY63" i="20"/>
  <c r="AL63" i="20"/>
  <c r="AM63" i="20" s="1"/>
  <c r="BB64" i="20"/>
  <c r="BB65" i="20" s="1"/>
  <c r="AP64" i="20"/>
  <c r="AP65" i="20" s="1"/>
  <c r="AX63" i="20"/>
  <c r="BA64" i="20"/>
  <c r="BA65" i="20" s="1"/>
  <c r="AO64" i="20"/>
  <c r="AW63" i="20"/>
  <c r="AZ64" i="20"/>
  <c r="AZ65" i="20" s="1"/>
  <c r="BH63" i="20"/>
  <c r="AV63" i="20"/>
  <c r="AY64" i="20"/>
  <c r="AY65" i="20" s="1"/>
  <c r="BG63" i="20"/>
  <c r="AU63" i="20"/>
  <c r="AX64" i="20"/>
  <c r="AX65" i="20" s="1"/>
  <c r="BF63" i="20"/>
  <c r="AT63" i="20"/>
  <c r="AW64" i="20"/>
  <c r="AW65" i="20" s="1"/>
  <c r="BE63" i="20"/>
  <c r="AS63" i="20"/>
  <c r="BG64" i="20"/>
  <c r="BG65" i="20" s="1"/>
  <c r="AU64" i="20"/>
  <c r="AU65" i="20" s="1"/>
  <c r="BC63" i="20"/>
  <c r="AQ63" i="20"/>
  <c r="BH64" i="20"/>
  <c r="BH65" i="20" s="1"/>
  <c r="BF64" i="20"/>
  <c r="BF65" i="20" s="1"/>
  <c r="AV64" i="20"/>
  <c r="AV65" i="20" s="1"/>
  <c r="AT64" i="20"/>
  <c r="AT65" i="20" s="1"/>
  <c r="BD63" i="20"/>
  <c r="BB63" i="20"/>
  <c r="AR63" i="20"/>
  <c r="AP63" i="20"/>
  <c r="AO71" i="20"/>
  <c r="BI70" i="20"/>
  <c r="BE58" i="20"/>
  <c r="BE59" i="20" s="1"/>
  <c r="AS58" i="20"/>
  <c r="AS59" i="20" s="1"/>
  <c r="BA57" i="20"/>
  <c r="AO57" i="20"/>
  <c r="BD58" i="20"/>
  <c r="BD59" i="20" s="1"/>
  <c r="AR58" i="20"/>
  <c r="AR59" i="20" s="1"/>
  <c r="AZ57" i="20"/>
  <c r="BC58" i="20"/>
  <c r="BC59" i="20" s="1"/>
  <c r="AQ58" i="20"/>
  <c r="AQ59" i="20" s="1"/>
  <c r="AY57" i="20"/>
  <c r="AL57" i="20"/>
  <c r="AM57" i="20" s="1"/>
  <c r="BB58" i="20"/>
  <c r="BB59" i="20" s="1"/>
  <c r="AP58" i="20"/>
  <c r="AP59" i="20" s="1"/>
  <c r="AX57" i="20"/>
  <c r="BA58" i="20"/>
  <c r="BA59" i="20" s="1"/>
  <c r="AO58" i="20"/>
  <c r="AW57" i="20"/>
  <c r="AZ58" i="20"/>
  <c r="AZ59" i="20" s="1"/>
  <c r="BH57" i="20"/>
  <c r="AV57" i="20"/>
  <c r="AY58" i="20"/>
  <c r="AY59" i="20" s="1"/>
  <c r="BG57" i="20"/>
  <c r="AU57" i="20"/>
  <c r="AX58" i="20"/>
  <c r="AX59" i="20" s="1"/>
  <c r="BF57" i="20"/>
  <c r="AT57" i="20"/>
  <c r="AW58" i="20"/>
  <c r="AW59" i="20" s="1"/>
  <c r="BE57" i="20"/>
  <c r="AS57" i="20"/>
  <c r="BG58" i="20"/>
  <c r="BG59" i="20" s="1"/>
  <c r="AU58" i="20"/>
  <c r="AU59" i="20" s="1"/>
  <c r="BC57" i="20"/>
  <c r="AQ57" i="20"/>
  <c r="BH58" i="20"/>
  <c r="BH59" i="20" s="1"/>
  <c r="BF58" i="20"/>
  <c r="BF59" i="20" s="1"/>
  <c r="AV58" i="20"/>
  <c r="AV59" i="20" s="1"/>
  <c r="BD57" i="20"/>
  <c r="AT58" i="20"/>
  <c r="AT59" i="20" s="1"/>
  <c r="BB57" i="20"/>
  <c r="AR57" i="20"/>
  <c r="AP57" i="20"/>
  <c r="T37" i="20"/>
  <c r="T28" i="20"/>
  <c r="U16" i="20"/>
  <c r="T25" i="20"/>
  <c r="T36" i="20"/>
  <c r="T29" i="20"/>
  <c r="T27" i="20"/>
  <c r="T38" i="20"/>
  <c r="T31" i="20"/>
  <c r="T32" i="20"/>
  <c r="T30" i="20"/>
  <c r="T34" i="20"/>
  <c r="T22" i="20"/>
  <c r="T33" i="20"/>
  <c r="T23" i="20"/>
  <c r="T21" i="20"/>
  <c r="T20" i="20"/>
  <c r="T19" i="20"/>
  <c r="T18" i="20"/>
  <c r="T35" i="20"/>
  <c r="T26" i="20"/>
  <c r="T24" i="20"/>
  <c r="BG25" i="20"/>
  <c r="BG26" i="20" s="1"/>
  <c r="AU25" i="20"/>
  <c r="AU26" i="20" s="1"/>
  <c r="BD24" i="20"/>
  <c r="AZ25" i="20"/>
  <c r="AZ26" i="20" s="1"/>
  <c r="BF25" i="20"/>
  <c r="BF26" i="20" s="1"/>
  <c r="AT25" i="20"/>
  <c r="AT26" i="20" s="1"/>
  <c r="BC24" i="20"/>
  <c r="BE25" i="20"/>
  <c r="BE26" i="20" s="1"/>
  <c r="BB24" i="20"/>
  <c r="BD25" i="20"/>
  <c r="BD26" i="20" s="1"/>
  <c r="BA24" i="20"/>
  <c r="AO24" i="20"/>
  <c r="BC25" i="20"/>
  <c r="BC26" i="20" s="1"/>
  <c r="AZ24" i="20"/>
  <c r="BB25" i="20"/>
  <c r="BB26" i="20" s="1"/>
  <c r="AY24" i="20"/>
  <c r="AL24" i="20"/>
  <c r="AM24" i="20" s="1"/>
  <c r="AO25" i="20" s="1"/>
  <c r="BA25" i="20"/>
  <c r="BA26" i="20" s="1"/>
  <c r="AX24" i="20"/>
  <c r="AW24" i="20"/>
  <c r="AY25" i="20"/>
  <c r="AY26" i="20" s="1"/>
  <c r="BH24" i="20"/>
  <c r="AV24" i="20"/>
  <c r="BG24" i="20"/>
  <c r="BF24" i="20"/>
  <c r="BH25" i="20"/>
  <c r="BH26" i="20" s="1"/>
  <c r="BE24" i="20"/>
  <c r="AX25" i="20"/>
  <c r="AX26" i="20" s="1"/>
  <c r="AU24" i="20"/>
  <c r="AW25" i="20"/>
  <c r="AW26" i="20" s="1"/>
  <c r="AT24" i="20"/>
  <c r="AV25" i="20"/>
  <c r="AV26" i="20" s="1"/>
  <c r="AX28" i="20"/>
  <c r="AX29" i="20" s="1"/>
  <c r="BG27" i="20"/>
  <c r="AU27" i="20"/>
  <c r="BA28" i="20"/>
  <c r="BA29" i="20" s="1"/>
  <c r="AW28" i="20"/>
  <c r="AW29" i="20" s="1"/>
  <c r="BF27" i="20"/>
  <c r="AT27" i="20"/>
  <c r="AX27" i="20"/>
  <c r="BH28" i="20"/>
  <c r="BH29" i="20" s="1"/>
  <c r="AV28" i="20"/>
  <c r="AV29" i="20" s="1"/>
  <c r="BE27" i="20"/>
  <c r="BC28" i="20"/>
  <c r="BC29" i="20" s="1"/>
  <c r="BG28" i="20"/>
  <c r="BG29" i="20" s="1"/>
  <c r="AU28" i="20"/>
  <c r="AU29" i="20" s="1"/>
  <c r="BD27" i="20"/>
  <c r="BF28" i="20"/>
  <c r="BF29" i="20" s="1"/>
  <c r="AT28" i="20"/>
  <c r="AT29" i="20" s="1"/>
  <c r="BC27" i="20"/>
  <c r="BE28" i="20"/>
  <c r="BE29" i="20" s="1"/>
  <c r="BB27" i="20"/>
  <c r="AZ27" i="20"/>
  <c r="BD28" i="20"/>
  <c r="BD29" i="20" s="1"/>
  <c r="BA27" i="20"/>
  <c r="AO27" i="20"/>
  <c r="BB28" i="20"/>
  <c r="BB29" i="20" s="1"/>
  <c r="AY27" i="20"/>
  <c r="AL27" i="20"/>
  <c r="AM27" i="20" s="1"/>
  <c r="AO28" i="20" s="1"/>
  <c r="AY28" i="20"/>
  <c r="AY29" i="20" s="1"/>
  <c r="BH27" i="20"/>
  <c r="AZ28" i="20"/>
  <c r="AZ29" i="20" s="1"/>
  <c r="AW27" i="20"/>
  <c r="AV27" i="20"/>
  <c r="BE52" i="20"/>
  <c r="BE53" i="20" s="1"/>
  <c r="AS52" i="20"/>
  <c r="AS53" i="20" s="1"/>
  <c r="BA51" i="20"/>
  <c r="AO51" i="20"/>
  <c r="BD52" i="20"/>
  <c r="BD53" i="20" s="1"/>
  <c r="AR52" i="20"/>
  <c r="AR53" i="20" s="1"/>
  <c r="AZ51" i="20"/>
  <c r="BC52" i="20"/>
  <c r="BC53" i="20" s="1"/>
  <c r="AQ52" i="20"/>
  <c r="AQ53" i="20" s="1"/>
  <c r="AY51" i="20"/>
  <c r="AL51" i="20"/>
  <c r="AM51" i="20" s="1"/>
  <c r="BB52" i="20"/>
  <c r="BB53" i="20" s="1"/>
  <c r="AP52" i="20"/>
  <c r="AP53" i="20" s="1"/>
  <c r="AX51" i="20"/>
  <c r="BA52" i="20"/>
  <c r="BA53" i="20" s="1"/>
  <c r="AO52" i="20"/>
  <c r="AW51" i="20"/>
  <c r="AZ52" i="20"/>
  <c r="AZ53" i="20" s="1"/>
  <c r="BH51" i="20"/>
  <c r="AV51" i="20"/>
  <c r="AY52" i="20"/>
  <c r="AY53" i="20" s="1"/>
  <c r="BG51" i="20"/>
  <c r="AU51" i="20"/>
  <c r="AX52" i="20"/>
  <c r="AX53" i="20" s="1"/>
  <c r="BF51" i="20"/>
  <c r="AT51" i="20"/>
  <c r="AW52" i="20"/>
  <c r="AW53" i="20" s="1"/>
  <c r="BE51" i="20"/>
  <c r="AS51" i="20"/>
  <c r="BG52" i="20"/>
  <c r="BG53" i="20" s="1"/>
  <c r="AU52" i="20"/>
  <c r="AU53" i="20" s="1"/>
  <c r="BC51" i="20"/>
  <c r="AQ51" i="20"/>
  <c r="BH52" i="20"/>
  <c r="BH53" i="20" s="1"/>
  <c r="BF52" i="20"/>
  <c r="BF53" i="20" s="1"/>
  <c r="AV52" i="20"/>
  <c r="AV53" i="20" s="1"/>
  <c r="AT52" i="20"/>
  <c r="AT53" i="20" s="1"/>
  <c r="BD51" i="20"/>
  <c r="BB51" i="20"/>
  <c r="AP51" i="20"/>
  <c r="AR51" i="20"/>
  <c r="AO29" i="20" l="1"/>
  <c r="AP27" i="20"/>
  <c r="AP28" i="20" s="1"/>
  <c r="AO26" i="20"/>
  <c r="AP24" i="20"/>
  <c r="AP25" i="20" s="1"/>
  <c r="AP32" i="20"/>
  <c r="AQ30" i="20"/>
  <c r="AQ31" i="20" s="1"/>
  <c r="T39" i="20"/>
  <c r="E27" i="11" s="1"/>
  <c r="O18" i="20"/>
  <c r="R18" i="20"/>
  <c r="P18" i="20"/>
  <c r="AO35" i="20"/>
  <c r="AP33" i="20"/>
  <c r="AP34" i="20" s="1"/>
  <c r="AQ33" i="20" s="1"/>
  <c r="AO38" i="20"/>
  <c r="BI37" i="20"/>
  <c r="AO53" i="20"/>
  <c r="BI52" i="20"/>
  <c r="AO65" i="20"/>
  <c r="BI64" i="20"/>
  <c r="AO59" i="20"/>
  <c r="BI58" i="20"/>
  <c r="AO41" i="20"/>
  <c r="BI40" i="20"/>
  <c r="AO47" i="20"/>
  <c r="BI46" i="20"/>
  <c r="U36" i="20"/>
  <c r="U29" i="20"/>
  <c r="U27" i="20"/>
  <c r="U38" i="20"/>
  <c r="U31" i="20"/>
  <c r="U33" i="20"/>
  <c r="U20" i="20"/>
  <c r="U18" i="20"/>
  <c r="U32" i="20"/>
  <c r="U30" i="20"/>
  <c r="U34" i="20"/>
  <c r="U22" i="20"/>
  <c r="U23" i="20"/>
  <c r="U19" i="20"/>
  <c r="U21" i="20"/>
  <c r="U35" i="20"/>
  <c r="U25" i="20"/>
  <c r="U37" i="20"/>
  <c r="U26" i="20"/>
  <c r="U28" i="20"/>
  <c r="U24" i="20"/>
  <c r="AQ32" i="20" l="1"/>
  <c r="N21" i="20" s="1"/>
  <c r="R21" i="20" s="1"/>
  <c r="AR30" i="20"/>
  <c r="AR31" i="20" s="1"/>
  <c r="AR32" i="20" s="1"/>
  <c r="AP26" i="20"/>
  <c r="AQ24" i="20"/>
  <c r="AP29" i="20"/>
  <c r="AQ27" i="20"/>
  <c r="AQ28" i="20" s="1"/>
  <c r="AQ29" i="20" s="1"/>
  <c r="N20" i="20" s="1"/>
  <c r="E22" i="20"/>
  <c r="AP35" i="20"/>
  <c r="AQ34" i="20"/>
  <c r="AQ25" i="20"/>
  <c r="U39" i="20"/>
  <c r="F27" i="11" s="1"/>
  <c r="Q18" i="20"/>
  <c r="O21" i="20" l="1"/>
  <c r="P21" i="20"/>
  <c r="Q21" i="20" s="1"/>
  <c r="AR24" i="20"/>
  <c r="AR25" i="20" s="1"/>
  <c r="AR26" i="20" s="1"/>
  <c r="R20" i="20"/>
  <c r="P20" i="20"/>
  <c r="Q20" i="20" s="1"/>
  <c r="O20" i="20"/>
  <c r="AR27" i="20"/>
  <c r="AR28" i="20" s="1"/>
  <c r="AR29" i="20" s="1"/>
  <c r="AQ26" i="20"/>
  <c r="N19" i="20" s="1"/>
  <c r="AQ35" i="20"/>
  <c r="N22" i="20" s="1"/>
  <c r="R22" i="20" s="1"/>
  <c r="AR33" i="20"/>
  <c r="AR34" i="20" s="1"/>
  <c r="AS33" i="20" s="1"/>
  <c r="BI31" i="20"/>
  <c r="P22" i="20" l="1"/>
  <c r="Q22" i="20" s="1"/>
  <c r="O22" i="20"/>
  <c r="AS24" i="20"/>
  <c r="AS25" i="20" s="1"/>
  <c r="R19" i="20"/>
  <c r="R39" i="20" s="1"/>
  <c r="C27" i="11" s="1"/>
  <c r="P19" i="20"/>
  <c r="P39" i="20" s="1"/>
  <c r="G43" i="11" s="1"/>
  <c r="O19" i="20"/>
  <c r="N39" i="20"/>
  <c r="AS27" i="20"/>
  <c r="AS28" i="20" s="1"/>
  <c r="AR35" i="20"/>
  <c r="AS34" i="20"/>
  <c r="AS35" i="20" s="1"/>
  <c r="AS26" i="20" l="1"/>
  <c r="BI25" i="20"/>
  <c r="AS29" i="20"/>
  <c r="BI28" i="20"/>
  <c r="BI34" i="20"/>
  <c r="Q19" i="20"/>
  <c r="Q39" i="20" s="1"/>
  <c r="A58" i="2" l="1"/>
  <c r="B70" i="19" s="1"/>
  <c r="A59" i="2"/>
  <c r="B71" i="19" s="1"/>
  <c r="A60" i="2"/>
  <c r="B72" i="19" s="1"/>
  <c r="A57" i="2"/>
  <c r="B69" i="19" s="1"/>
  <c r="C69" i="19" s="1"/>
  <c r="C94" i="19" s="1"/>
  <c r="A61" i="2"/>
  <c r="A62" i="2"/>
  <c r="A56" i="2"/>
  <c r="B68" i="19" s="1"/>
  <c r="A54" i="2"/>
  <c r="B66" i="19" s="1"/>
  <c r="A55" i="2"/>
  <c r="B67" i="19" s="1"/>
  <c r="AN49" i="16"/>
  <c r="AN48" i="16"/>
  <c r="F67" i="19" l="1"/>
  <c r="F92" i="19" s="1"/>
  <c r="C67" i="19"/>
  <c r="C92" i="19" s="1"/>
  <c r="C68" i="19"/>
  <c r="C93" i="19" s="1"/>
  <c r="H68" i="19"/>
  <c r="H93" i="19" s="1"/>
  <c r="D68" i="19"/>
  <c r="D93" i="19" s="1"/>
  <c r="G68" i="19"/>
  <c r="G93" i="19" s="1"/>
  <c r="B93" i="19"/>
  <c r="I68" i="19"/>
  <c r="F68" i="19"/>
  <c r="F93" i="19" s="1"/>
  <c r="E68" i="19"/>
  <c r="E93" i="19" s="1"/>
  <c r="D72" i="19"/>
  <c r="F72" i="19"/>
  <c r="I72" i="19"/>
  <c r="C72" i="19"/>
  <c r="H72" i="19"/>
  <c r="E72" i="19"/>
  <c r="G72" i="19"/>
  <c r="I71" i="19"/>
  <c r="C71" i="19"/>
  <c r="C96" i="19" s="1"/>
  <c r="B96" i="19"/>
  <c r="C70" i="19"/>
  <c r="C95" i="19" s="1"/>
  <c r="I70" i="19"/>
  <c r="B95" i="19"/>
  <c r="I69" i="19"/>
  <c r="J69" i="19" s="1"/>
  <c r="K69" i="19" s="1"/>
  <c r="L69" i="19" s="1"/>
  <c r="M69" i="19" s="1"/>
  <c r="E67" i="19"/>
  <c r="E92" i="19" s="1"/>
  <c r="H67" i="19"/>
  <c r="H92" i="19" s="1"/>
  <c r="B94" i="19"/>
  <c r="G67" i="19"/>
  <c r="G92" i="19" s="1"/>
  <c r="I67" i="19"/>
  <c r="I92" i="19" s="1"/>
  <c r="J67" i="19"/>
  <c r="J92" i="19" s="1"/>
  <c r="K67" i="19"/>
  <c r="K92" i="19" s="1"/>
  <c r="B92" i="19"/>
  <c r="L67" i="19"/>
  <c r="L92" i="19" s="1"/>
  <c r="B91" i="19"/>
  <c r="M67" i="19"/>
  <c r="M92" i="19" s="1"/>
  <c r="D67" i="19"/>
  <c r="D92" i="19" s="1"/>
  <c r="J66" i="19"/>
  <c r="J91" i="19" s="1"/>
  <c r="AN46" i="16"/>
  <c r="AN45" i="16"/>
  <c r="AN44" i="16"/>
  <c r="F66" i="19" s="1"/>
  <c r="F91" i="19" s="1"/>
  <c r="N92" i="19" l="1"/>
  <c r="N67" i="19"/>
  <c r="C66" i="19"/>
  <c r="C91" i="19" s="1"/>
  <c r="K66" i="19"/>
  <c r="K91" i="19" s="1"/>
  <c r="D66" i="19"/>
  <c r="D91" i="19" s="1"/>
  <c r="H66" i="19"/>
  <c r="H91" i="19" s="1"/>
  <c r="L66" i="19"/>
  <c r="L91" i="19" s="1"/>
  <c r="G66" i="19"/>
  <c r="G91" i="19" s="1"/>
  <c r="E66" i="19"/>
  <c r="E91" i="19" s="1"/>
  <c r="I66" i="19"/>
  <c r="I91" i="19" s="1"/>
  <c r="M66" i="19"/>
  <c r="M91" i="19" s="1"/>
  <c r="AN64" i="16"/>
  <c r="H71" i="19" s="1"/>
  <c r="H96" i="19" s="1"/>
  <c r="AN63" i="16"/>
  <c r="G71" i="19" s="1"/>
  <c r="G96" i="19" s="1"/>
  <c r="AN62" i="16"/>
  <c r="F71" i="19" s="1"/>
  <c r="F96" i="19" s="1"/>
  <c r="AN61" i="16"/>
  <c r="E71" i="19" s="1"/>
  <c r="E96" i="19" s="1"/>
  <c r="AN60" i="16"/>
  <c r="D71" i="19" s="1"/>
  <c r="D96" i="19" s="1"/>
  <c r="N91" i="19" l="1"/>
  <c r="N66" i="19"/>
  <c r="C37" i="1"/>
  <c r="C23" i="14"/>
  <c r="G22" i="13"/>
  <c r="G21" i="13"/>
  <c r="G20" i="13"/>
  <c r="G19" i="13"/>
  <c r="G18" i="13"/>
  <c r="M71" i="19" l="1"/>
  <c r="L71" i="19"/>
  <c r="K71" i="19"/>
  <c r="J71" i="19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N38" i="16"/>
  <c r="AN39" i="16"/>
  <c r="AN40" i="16"/>
  <c r="AN41" i="16"/>
  <c r="AN42" i="16"/>
  <c r="AN43" i="16"/>
  <c r="AN47" i="16"/>
  <c r="AN50" i="16"/>
  <c r="D69" i="19" s="1"/>
  <c r="D94" i="19" s="1"/>
  <c r="AN51" i="16"/>
  <c r="E69" i="19" s="1"/>
  <c r="E94" i="19" s="1"/>
  <c r="AN52" i="16"/>
  <c r="F69" i="19" s="1"/>
  <c r="F94" i="19" s="1"/>
  <c r="AN53" i="16"/>
  <c r="G69" i="19" s="1"/>
  <c r="G94" i="19" s="1"/>
  <c r="AN54" i="16"/>
  <c r="H69" i="19" s="1"/>
  <c r="H94" i="19" s="1"/>
  <c r="AN55" i="16"/>
  <c r="D70" i="19" s="1"/>
  <c r="D95" i="19" s="1"/>
  <c r="AN56" i="16"/>
  <c r="E70" i="19" s="1"/>
  <c r="E95" i="19" s="1"/>
  <c r="AN57" i="16"/>
  <c r="F70" i="19" s="1"/>
  <c r="F95" i="19" s="1"/>
  <c r="AN58" i="16"/>
  <c r="G70" i="19" s="1"/>
  <c r="G95" i="19" s="1"/>
  <c r="AN59" i="16"/>
  <c r="H70" i="19" s="1"/>
  <c r="H95" i="19" s="1"/>
  <c r="AN65" i="16"/>
  <c r="AN66" i="16"/>
  <c r="AN67" i="16"/>
  <c r="AN68" i="16"/>
  <c r="AN69" i="16"/>
  <c r="AN70" i="16"/>
  <c r="AN71" i="16"/>
  <c r="AN72" i="16"/>
  <c r="AN73" i="16"/>
  <c r="AN74" i="16"/>
  <c r="AN75" i="16"/>
  <c r="AN76" i="16"/>
  <c r="AN77" i="16"/>
  <c r="AN78" i="16"/>
  <c r="AN79" i="16"/>
  <c r="AN80" i="16"/>
  <c r="AN81" i="16"/>
  <c r="AN82" i="16"/>
  <c r="AN83" i="16"/>
  <c r="AN84" i="16"/>
  <c r="AN85" i="16"/>
  <c r="AN86" i="16"/>
  <c r="AN87" i="16"/>
  <c r="AN88" i="16"/>
  <c r="AN89" i="16"/>
  <c r="AN90" i="16"/>
  <c r="AN91" i="16"/>
  <c r="AN92" i="16"/>
  <c r="AN93" i="16"/>
  <c r="N71" i="19" l="1"/>
  <c r="N69" i="19"/>
  <c r="F17" i="1"/>
  <c r="E51" i="5" l="1"/>
  <c r="E34" i="5"/>
  <c r="E52" i="5" s="1"/>
  <c r="F52" i="5" s="1"/>
  <c r="F51" i="5" l="1"/>
  <c r="F18" i="1" s="1"/>
  <c r="E55" i="5"/>
  <c r="E53" i="5"/>
  <c r="E54" i="5"/>
  <c r="F54" i="5" s="1"/>
  <c r="D14" i="16"/>
  <c r="E14" i="16" s="1"/>
  <c r="AN15" i="16"/>
  <c r="B19" i="19"/>
  <c r="B20" i="19"/>
  <c r="B21" i="19"/>
  <c r="B22" i="19"/>
  <c r="B23" i="19"/>
  <c r="B24" i="19"/>
  <c r="E24" i="19" s="1"/>
  <c r="E40" i="19" s="1"/>
  <c r="B25" i="19"/>
  <c r="D25" i="19" s="1"/>
  <c r="D41" i="19" s="1"/>
  <c r="B26" i="19"/>
  <c r="C26" i="19" s="1"/>
  <c r="C42" i="19" s="1"/>
  <c r="B27" i="19"/>
  <c r="D27" i="19" s="1"/>
  <c r="D43" i="19" s="1"/>
  <c r="B28" i="19"/>
  <c r="E28" i="19" s="1"/>
  <c r="E44" i="19" s="1"/>
  <c r="B18" i="19"/>
  <c r="AN17" i="16"/>
  <c r="AO13" i="16"/>
  <c r="F24" i="1" l="1"/>
  <c r="F25" i="1"/>
  <c r="F26" i="1"/>
  <c r="F30" i="1"/>
  <c r="F27" i="1"/>
  <c r="F29" i="1"/>
  <c r="F31" i="1"/>
  <c r="F28" i="1"/>
  <c r="C17" i="19"/>
  <c r="F25" i="19"/>
  <c r="F41" i="19" s="1"/>
  <c r="F26" i="19"/>
  <c r="F42" i="19" s="1"/>
  <c r="E26" i="19"/>
  <c r="E42" i="19" s="1"/>
  <c r="E25" i="19"/>
  <c r="E41" i="19" s="1"/>
  <c r="F24" i="19"/>
  <c r="F40" i="19" s="1"/>
  <c r="D26" i="19"/>
  <c r="D42" i="19" s="1"/>
  <c r="D24" i="19"/>
  <c r="D40" i="19" s="1"/>
  <c r="C27" i="19"/>
  <c r="C43" i="19" s="1"/>
  <c r="C25" i="19"/>
  <c r="C41" i="19" s="1"/>
  <c r="F27" i="19"/>
  <c r="F43" i="19" s="1"/>
  <c r="E27" i="19"/>
  <c r="E43" i="19" s="1"/>
  <c r="C28" i="19"/>
  <c r="C44" i="19" s="1"/>
  <c r="D28" i="19"/>
  <c r="D44" i="19" s="1"/>
  <c r="C24" i="19"/>
  <c r="C40" i="19" s="1"/>
  <c r="F28" i="19"/>
  <c r="F44" i="19" s="1"/>
  <c r="F23" i="1"/>
  <c r="F22" i="1"/>
  <c r="F21" i="1"/>
  <c r="F32" i="1"/>
  <c r="C33" i="19"/>
  <c r="AP13" i="16"/>
  <c r="F14" i="16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G14" i="16" s="1"/>
  <c r="AH14" i="16" s="1"/>
  <c r="AI14" i="16" s="1"/>
  <c r="AJ14" i="16" s="1"/>
  <c r="AK14" i="16" s="1"/>
  <c r="AL14" i="16" s="1"/>
  <c r="AM14" i="16" s="1"/>
  <c r="D33" i="19" l="1"/>
  <c r="AQ13" i="16"/>
  <c r="D17" i="19"/>
  <c r="G18" i="1"/>
  <c r="F53" i="5"/>
  <c r="G26" i="1" l="1"/>
  <c r="G27" i="1"/>
  <c r="G28" i="1"/>
  <c r="G29" i="1"/>
  <c r="G30" i="1"/>
  <c r="G31" i="1"/>
  <c r="G24" i="1"/>
  <c r="G25" i="1"/>
  <c r="G23" i="1"/>
  <c r="G22" i="1"/>
  <c r="G32" i="1"/>
  <c r="G21" i="1"/>
  <c r="AR13" i="16"/>
  <c r="E33" i="19"/>
  <c r="E17" i="19"/>
  <c r="I19" i="19"/>
  <c r="I20" i="19"/>
  <c r="I22" i="19"/>
  <c r="I23" i="19"/>
  <c r="I24" i="19"/>
  <c r="I25" i="19"/>
  <c r="I26" i="19"/>
  <c r="I27" i="19"/>
  <c r="I28" i="19"/>
  <c r="I18" i="19"/>
  <c r="F33" i="19" l="1"/>
  <c r="F17" i="19"/>
  <c r="G28" i="19"/>
  <c r="H28" i="19" s="1"/>
  <c r="G25" i="19"/>
  <c r="H25" i="19" s="1"/>
  <c r="G27" i="19"/>
  <c r="H27" i="19" s="1"/>
  <c r="G26" i="19"/>
  <c r="H26" i="19" s="1"/>
  <c r="G24" i="19"/>
  <c r="H24" i="19" s="1"/>
  <c r="G41" i="19" l="1"/>
  <c r="G40" i="19"/>
  <c r="G43" i="19"/>
  <c r="G42" i="19"/>
  <c r="G44" i="19"/>
  <c r="G25" i="11" l="1"/>
  <c r="G24" i="11"/>
  <c r="G31" i="11"/>
  <c r="G30" i="11"/>
  <c r="G29" i="11"/>
  <c r="G28" i="11"/>
  <c r="B19" i="1"/>
  <c r="I40" i="1"/>
  <c r="H40" i="1"/>
  <c r="G40" i="1"/>
  <c r="I39" i="1"/>
  <c r="H39" i="1"/>
  <c r="G39" i="1"/>
  <c r="F40" i="1"/>
  <c r="J35" i="1"/>
  <c r="J36" i="1"/>
  <c r="J37" i="1"/>
  <c r="I35" i="1"/>
  <c r="I36" i="1"/>
  <c r="I37" i="1"/>
  <c r="H35" i="1"/>
  <c r="H36" i="1"/>
  <c r="H37" i="1"/>
  <c r="G35" i="1"/>
  <c r="G36" i="1"/>
  <c r="G37" i="1"/>
  <c r="F36" i="1"/>
  <c r="F37" i="1"/>
  <c r="F35" i="1"/>
  <c r="J34" i="1"/>
  <c r="I34" i="1"/>
  <c r="H34" i="1"/>
  <c r="G34" i="1"/>
  <c r="F34" i="1"/>
  <c r="B20" i="1" l="1"/>
  <c r="A42" i="2"/>
  <c r="B54" i="19" s="1"/>
  <c r="L35" i="1"/>
  <c r="O69" i="19" s="1"/>
  <c r="L37" i="1"/>
  <c r="O71" i="19" s="1"/>
  <c r="L40" i="1"/>
  <c r="L36" i="1"/>
  <c r="O70" i="19" s="1"/>
  <c r="L34" i="1"/>
  <c r="O68" i="19" s="1"/>
  <c r="B79" i="19" l="1"/>
  <c r="M54" i="19"/>
  <c r="M79" i="19" s="1"/>
  <c r="L54" i="19"/>
  <c r="L79" i="19" s="1"/>
  <c r="I54" i="19"/>
  <c r="I79" i="19" s="1"/>
  <c r="K54" i="19"/>
  <c r="K79" i="19" s="1"/>
  <c r="J54" i="19"/>
  <c r="J79" i="19" s="1"/>
  <c r="C54" i="19"/>
  <c r="C79" i="19" s="1"/>
  <c r="B21" i="1"/>
  <c r="A43" i="2"/>
  <c r="B55" i="19" s="1"/>
  <c r="F39" i="1"/>
  <c r="L39" i="1" s="1"/>
  <c r="C40" i="1"/>
  <c r="E40" i="1" s="1"/>
  <c r="C39" i="1"/>
  <c r="C36" i="1"/>
  <c r="C35" i="1"/>
  <c r="C34" i="1"/>
  <c r="H18" i="1"/>
  <c r="B16" i="7"/>
  <c r="G17" i="1"/>
  <c r="H17" i="1" s="1"/>
  <c r="I17" i="1" s="1"/>
  <c r="J17" i="1" s="1"/>
  <c r="K17" i="1" s="1"/>
  <c r="K18" i="1" s="1"/>
  <c r="AB123" i="16"/>
  <c r="P123" i="16"/>
  <c r="D123" i="16"/>
  <c r="AN121" i="16"/>
  <c r="AN120" i="16"/>
  <c r="AN119" i="16"/>
  <c r="AN118" i="16"/>
  <c r="AN117" i="16"/>
  <c r="AN116" i="16"/>
  <c r="AN115" i="16"/>
  <c r="AN114" i="16"/>
  <c r="AN113" i="16"/>
  <c r="AN112" i="16"/>
  <c r="AN111" i="16"/>
  <c r="AN110" i="16"/>
  <c r="AN109" i="16"/>
  <c r="AN108" i="16"/>
  <c r="AN107" i="16"/>
  <c r="AN106" i="16"/>
  <c r="AN105" i="16"/>
  <c r="AN104" i="16"/>
  <c r="AN103" i="16"/>
  <c r="AN102" i="16"/>
  <c r="AN101" i="16"/>
  <c r="AN100" i="16"/>
  <c r="AN99" i="16"/>
  <c r="AN98" i="16"/>
  <c r="AN97" i="16"/>
  <c r="AN96" i="16"/>
  <c r="H55" i="19" s="1"/>
  <c r="H80" i="19" s="1"/>
  <c r="AN95" i="16"/>
  <c r="AN94" i="16"/>
  <c r="AN22" i="16"/>
  <c r="AN21" i="16"/>
  <c r="AN20" i="16"/>
  <c r="AN19" i="16"/>
  <c r="E55" i="19" s="1"/>
  <c r="E80" i="19" s="1"/>
  <c r="AN18" i="16"/>
  <c r="AN16" i="16"/>
  <c r="B80" i="19" l="1"/>
  <c r="F55" i="19"/>
  <c r="F80" i="19" s="1"/>
  <c r="M55" i="19"/>
  <c r="M80" i="19" s="1"/>
  <c r="D55" i="19"/>
  <c r="D80" i="19" s="1"/>
  <c r="J55" i="19"/>
  <c r="J80" i="19" s="1"/>
  <c r="I55" i="19"/>
  <c r="I80" i="19" s="1"/>
  <c r="K55" i="19"/>
  <c r="K80" i="19" s="1"/>
  <c r="L55" i="19"/>
  <c r="L80" i="19" s="1"/>
  <c r="B22" i="1"/>
  <c r="A44" i="2"/>
  <c r="B56" i="19" s="1"/>
  <c r="M70" i="19"/>
  <c r="M95" i="19" s="1"/>
  <c r="I95" i="19"/>
  <c r="L70" i="19"/>
  <c r="L95" i="19" s="1"/>
  <c r="K70" i="19"/>
  <c r="K95" i="19" s="1"/>
  <c r="J70" i="19"/>
  <c r="G55" i="19"/>
  <c r="G80" i="19" s="1"/>
  <c r="H54" i="19"/>
  <c r="H79" i="19" s="1"/>
  <c r="G54" i="19"/>
  <c r="G79" i="19" s="1"/>
  <c r="E54" i="19"/>
  <c r="E79" i="19" s="1"/>
  <c r="F54" i="19"/>
  <c r="F79" i="19" s="1"/>
  <c r="C55" i="19"/>
  <c r="C80" i="19" s="1"/>
  <c r="D54" i="19"/>
  <c r="D79" i="19" s="1"/>
  <c r="H26" i="1"/>
  <c r="H27" i="1"/>
  <c r="H28" i="1"/>
  <c r="H29" i="1"/>
  <c r="H30" i="1"/>
  <c r="H31" i="1"/>
  <c r="H24" i="1"/>
  <c r="H25" i="1"/>
  <c r="H22" i="1"/>
  <c r="H23" i="1"/>
  <c r="H21" i="1"/>
  <c r="H32" i="1"/>
  <c r="K94" i="19"/>
  <c r="L94" i="19"/>
  <c r="I94" i="19"/>
  <c r="M94" i="19"/>
  <c r="J94" i="19"/>
  <c r="J68" i="19"/>
  <c r="J93" i="19" s="1"/>
  <c r="K68" i="19"/>
  <c r="K93" i="19" s="1"/>
  <c r="I93" i="19"/>
  <c r="L68" i="19"/>
  <c r="L93" i="19" s="1"/>
  <c r="M68" i="19"/>
  <c r="M93" i="19" s="1"/>
  <c r="G20" i="1"/>
  <c r="G19" i="1"/>
  <c r="H20" i="1"/>
  <c r="H19" i="1"/>
  <c r="E39" i="1"/>
  <c r="C16" i="7"/>
  <c r="D16" i="7"/>
  <c r="E35" i="1"/>
  <c r="E36" i="1"/>
  <c r="E34" i="1"/>
  <c r="AN122" i="16"/>
  <c r="N79" i="19" l="1"/>
  <c r="B23" i="1"/>
  <c r="A45" i="2"/>
  <c r="B57" i="19" s="1"/>
  <c r="B81" i="19"/>
  <c r="F56" i="19"/>
  <c r="F81" i="19" s="1"/>
  <c r="J56" i="19"/>
  <c r="J81" i="19" s="1"/>
  <c r="G56" i="19"/>
  <c r="G81" i="19" s="1"/>
  <c r="D56" i="19"/>
  <c r="D81" i="19" s="1"/>
  <c r="I56" i="19"/>
  <c r="I81" i="19" s="1"/>
  <c r="C56" i="19"/>
  <c r="K56" i="19"/>
  <c r="K81" i="19" s="1"/>
  <c r="H56" i="19"/>
  <c r="H81" i="19" s="1"/>
  <c r="L56" i="19"/>
  <c r="L81" i="19" s="1"/>
  <c r="E56" i="19"/>
  <c r="E81" i="19" s="1"/>
  <c r="M56" i="19"/>
  <c r="M81" i="19" s="1"/>
  <c r="J95" i="19"/>
  <c r="N95" i="19" s="1"/>
  <c r="N70" i="19"/>
  <c r="N80" i="19"/>
  <c r="N55" i="19"/>
  <c r="N54" i="19"/>
  <c r="M72" i="19"/>
  <c r="M96" i="19" s="1"/>
  <c r="K72" i="19"/>
  <c r="K96" i="19" s="1"/>
  <c r="I96" i="19"/>
  <c r="L72" i="19"/>
  <c r="L96" i="19" s="1"/>
  <c r="J72" i="19"/>
  <c r="F20" i="1"/>
  <c r="F19" i="1"/>
  <c r="C81" i="19" l="1"/>
  <c r="N81" i="19" s="1"/>
  <c r="N56" i="19"/>
  <c r="B82" i="19"/>
  <c r="F57" i="19"/>
  <c r="F82" i="19" s="1"/>
  <c r="I57" i="19"/>
  <c r="I82" i="19" s="1"/>
  <c r="M57" i="19"/>
  <c r="M82" i="19" s="1"/>
  <c r="J57" i="19"/>
  <c r="J82" i="19" s="1"/>
  <c r="G57" i="19"/>
  <c r="G82" i="19" s="1"/>
  <c r="D57" i="19"/>
  <c r="D82" i="19" s="1"/>
  <c r="C57" i="19"/>
  <c r="E57" i="19"/>
  <c r="E82" i="19" s="1"/>
  <c r="K57" i="19"/>
  <c r="K82" i="19" s="1"/>
  <c r="H57" i="19"/>
  <c r="H82" i="19" s="1"/>
  <c r="L57" i="19"/>
  <c r="L82" i="19" s="1"/>
  <c r="B24" i="1"/>
  <c r="A46" i="2"/>
  <c r="B58" i="19" s="1"/>
  <c r="J96" i="19"/>
  <c r="N72" i="19"/>
  <c r="C82" i="19" l="1"/>
  <c r="N82" i="19" s="1"/>
  <c r="N57" i="19"/>
  <c r="B83" i="19"/>
  <c r="F58" i="19"/>
  <c r="F83" i="19" s="1"/>
  <c r="M58" i="19"/>
  <c r="M83" i="19" s="1"/>
  <c r="J58" i="19"/>
  <c r="J83" i="19" s="1"/>
  <c r="G58" i="19"/>
  <c r="G83" i="19" s="1"/>
  <c r="D58" i="19"/>
  <c r="D83" i="19" s="1"/>
  <c r="K58" i="19"/>
  <c r="K83" i="19" s="1"/>
  <c r="H58" i="19"/>
  <c r="L58" i="19"/>
  <c r="I58" i="19"/>
  <c r="I83" i="19" s="1"/>
  <c r="C58" i="19"/>
  <c r="E58" i="19"/>
  <c r="E83" i="19" s="1"/>
  <c r="B25" i="1"/>
  <c r="A47" i="2"/>
  <c r="B59" i="19" s="1"/>
  <c r="N96" i="19"/>
  <c r="C83" i="19" l="1"/>
  <c r="N58" i="19"/>
  <c r="L83" i="19"/>
  <c r="H83" i="19"/>
  <c r="F59" i="19"/>
  <c r="F84" i="19" s="1"/>
  <c r="B84" i="19"/>
  <c r="L59" i="19"/>
  <c r="L84" i="19" s="1"/>
  <c r="I59" i="19"/>
  <c r="I84" i="19" s="1"/>
  <c r="E59" i="19"/>
  <c r="E84" i="19" s="1"/>
  <c r="C59" i="19"/>
  <c r="D59" i="19"/>
  <c r="D84" i="19" s="1"/>
  <c r="H59" i="19"/>
  <c r="H84" i="19" s="1"/>
  <c r="G59" i="19"/>
  <c r="G84" i="19" s="1"/>
  <c r="K59" i="19"/>
  <c r="K84" i="19" s="1"/>
  <c r="J59" i="19"/>
  <c r="M59" i="19"/>
  <c r="M84" i="19" s="1"/>
  <c r="B26" i="1"/>
  <c r="A48" i="2"/>
  <c r="B60" i="19" s="1"/>
  <c r="B17" i="7"/>
  <c r="B18" i="7"/>
  <c r="B19" i="7"/>
  <c r="B20" i="7"/>
  <c r="B21" i="7"/>
  <c r="B22" i="7"/>
  <c r="B23" i="7"/>
  <c r="B24" i="7"/>
  <c r="B25" i="7"/>
  <c r="B26" i="7"/>
  <c r="D27" i="15"/>
  <c r="AB23" i="15"/>
  <c r="Z23" i="15"/>
  <c r="T23" i="15"/>
  <c r="N23" i="15"/>
  <c r="H23" i="15"/>
  <c r="C23" i="15"/>
  <c r="G23" i="15" s="1"/>
  <c r="AB22" i="15"/>
  <c r="Z22" i="15"/>
  <c r="T22" i="15"/>
  <c r="N22" i="15"/>
  <c r="H22" i="15"/>
  <c r="C22" i="15"/>
  <c r="W22" i="15" s="1"/>
  <c r="AB21" i="15"/>
  <c r="Z21" i="15"/>
  <c r="T21" i="15"/>
  <c r="N21" i="15"/>
  <c r="H21" i="15"/>
  <c r="C21" i="15"/>
  <c r="G21" i="15" s="1"/>
  <c r="AB20" i="15"/>
  <c r="Z20" i="15"/>
  <c r="T20" i="15"/>
  <c r="N20" i="15"/>
  <c r="H20" i="15"/>
  <c r="C20" i="15"/>
  <c r="D26" i="15" s="1"/>
  <c r="Y23" i="14"/>
  <c r="U23" i="14"/>
  <c r="Q23" i="14"/>
  <c r="M23" i="14"/>
  <c r="I23" i="14"/>
  <c r="E23" i="14"/>
  <c r="J23" i="14"/>
  <c r="K23" i="14" s="1"/>
  <c r="Y22" i="14"/>
  <c r="U22" i="14"/>
  <c r="Q22" i="14"/>
  <c r="M22" i="14"/>
  <c r="I22" i="14"/>
  <c r="E22" i="14"/>
  <c r="C22" i="14"/>
  <c r="R22" i="14" s="1"/>
  <c r="Y21" i="14"/>
  <c r="U21" i="14"/>
  <c r="Q21" i="14"/>
  <c r="M21" i="14"/>
  <c r="I21" i="14"/>
  <c r="E21" i="14"/>
  <c r="C21" i="14"/>
  <c r="J21" i="14" s="1"/>
  <c r="Y20" i="14"/>
  <c r="U20" i="14"/>
  <c r="Q20" i="14"/>
  <c r="M20" i="14"/>
  <c r="I20" i="14"/>
  <c r="E20" i="14"/>
  <c r="C20" i="14"/>
  <c r="J20" i="14" s="1"/>
  <c r="K21" i="14" l="1"/>
  <c r="C84" i="19"/>
  <c r="N59" i="19"/>
  <c r="N83" i="19"/>
  <c r="F60" i="19"/>
  <c r="F85" i="19" s="1"/>
  <c r="B85" i="19"/>
  <c r="D60" i="19"/>
  <c r="D85" i="19" s="1"/>
  <c r="H60" i="19"/>
  <c r="H85" i="19" s="1"/>
  <c r="L60" i="19"/>
  <c r="L85" i="19" s="1"/>
  <c r="I60" i="19"/>
  <c r="E60" i="19"/>
  <c r="G60" i="19"/>
  <c r="C60" i="19"/>
  <c r="K60" i="19"/>
  <c r="K85" i="19" s="1"/>
  <c r="M60" i="19"/>
  <c r="M85" i="19" s="1"/>
  <c r="J60" i="19"/>
  <c r="J85" i="19" s="1"/>
  <c r="B27" i="1"/>
  <c r="A49" i="2"/>
  <c r="B61" i="19" s="1"/>
  <c r="J84" i="19"/>
  <c r="Y25" i="14"/>
  <c r="S22" i="14"/>
  <c r="Q24" i="14"/>
  <c r="C23" i="7"/>
  <c r="D23" i="7"/>
  <c r="D19" i="7"/>
  <c r="C19" i="7"/>
  <c r="D24" i="7"/>
  <c r="C24" i="7"/>
  <c r="C21" i="7"/>
  <c r="D21" i="7"/>
  <c r="D17" i="7"/>
  <c r="C17" i="7"/>
  <c r="D22" i="7"/>
  <c r="C22" i="7"/>
  <c r="C20" i="7"/>
  <c r="D20" i="7"/>
  <c r="D18" i="7"/>
  <c r="C18" i="7"/>
  <c r="C25" i="7"/>
  <c r="D25" i="7"/>
  <c r="D26" i="7"/>
  <c r="C26" i="7"/>
  <c r="S20" i="15"/>
  <c r="Q20" i="15"/>
  <c r="W21" i="15"/>
  <c r="K23" i="15"/>
  <c r="G22" i="15"/>
  <c r="AB24" i="15"/>
  <c r="W23" i="15"/>
  <c r="Y23" i="15"/>
  <c r="W20" i="15"/>
  <c r="E20" i="15"/>
  <c r="M21" i="15"/>
  <c r="Q22" i="15"/>
  <c r="G20" i="15"/>
  <c r="K22" i="15"/>
  <c r="Q21" i="15"/>
  <c r="Y22" i="15"/>
  <c r="X22" i="15" s="1"/>
  <c r="AA22" i="15" s="1"/>
  <c r="K21" i="15"/>
  <c r="Y21" i="15"/>
  <c r="M23" i="15"/>
  <c r="K20" i="15"/>
  <c r="Y20" i="15"/>
  <c r="M22" i="15"/>
  <c r="M20" i="15"/>
  <c r="Q23" i="15"/>
  <c r="E23" i="15"/>
  <c r="S23" i="15"/>
  <c r="E22" i="15"/>
  <c r="S22" i="15"/>
  <c r="E21" i="15"/>
  <c r="S21" i="15"/>
  <c r="E24" i="14"/>
  <c r="M24" i="14"/>
  <c r="U24" i="14"/>
  <c r="F20" i="14"/>
  <c r="G20" i="14" s="1"/>
  <c r="R23" i="14"/>
  <c r="S23" i="14" s="1"/>
  <c r="N21" i="14"/>
  <c r="O21" i="14" s="1"/>
  <c r="V20" i="14"/>
  <c r="W20" i="14" s="1"/>
  <c r="F22" i="14"/>
  <c r="G22" i="14" s="1"/>
  <c r="N23" i="14"/>
  <c r="O23" i="14" s="1"/>
  <c r="J22" i="14"/>
  <c r="J24" i="14" s="1"/>
  <c r="K20" i="14"/>
  <c r="V22" i="14"/>
  <c r="W22" i="14" s="1"/>
  <c r="R21" i="14"/>
  <c r="S21" i="14" s="1"/>
  <c r="R20" i="14"/>
  <c r="N20" i="14"/>
  <c r="O20" i="14" s="1"/>
  <c r="I24" i="14"/>
  <c r="F21" i="14"/>
  <c r="V21" i="14"/>
  <c r="W21" i="14" s="1"/>
  <c r="N22" i="14"/>
  <c r="O22" i="14" s="1"/>
  <c r="F23" i="14"/>
  <c r="G23" i="14" s="1"/>
  <c r="V23" i="14"/>
  <c r="W23" i="14" s="1"/>
  <c r="G28" i="13"/>
  <c r="G27" i="13"/>
  <c r="G26" i="13"/>
  <c r="G25" i="13"/>
  <c r="G23" i="13"/>
  <c r="N84" i="19" l="1"/>
  <c r="E85" i="19"/>
  <c r="I85" i="19"/>
  <c r="G85" i="19"/>
  <c r="C85" i="19"/>
  <c r="N60" i="19"/>
  <c r="F61" i="19"/>
  <c r="F86" i="19" s="1"/>
  <c r="B86" i="19"/>
  <c r="C61" i="19"/>
  <c r="D61" i="19"/>
  <c r="D86" i="19" s="1"/>
  <c r="M61" i="19"/>
  <c r="J61" i="19"/>
  <c r="J86" i="19" s="1"/>
  <c r="G61" i="19"/>
  <c r="G86" i="19" s="1"/>
  <c r="K61" i="19"/>
  <c r="H61" i="19"/>
  <c r="E61" i="19"/>
  <c r="E86" i="19" s="1"/>
  <c r="L61" i="19"/>
  <c r="L86" i="19" s="1"/>
  <c r="I61" i="19"/>
  <c r="I86" i="19" s="1"/>
  <c r="B28" i="1"/>
  <c r="A50" i="2"/>
  <c r="B62" i="19" s="1"/>
  <c r="L23" i="15"/>
  <c r="O23" i="15" s="1"/>
  <c r="L22" i="15"/>
  <c r="O22" i="15" s="1"/>
  <c r="X21" i="15"/>
  <c r="AA21" i="15" s="1"/>
  <c r="R21" i="15"/>
  <c r="U21" i="15" s="1"/>
  <c r="X20" i="15"/>
  <c r="AA20" i="15" s="1"/>
  <c r="F20" i="15"/>
  <c r="I20" i="15" s="1"/>
  <c r="R20" i="15"/>
  <c r="U20" i="15" s="1"/>
  <c r="X23" i="15"/>
  <c r="AA23" i="15" s="1"/>
  <c r="R22" i="15"/>
  <c r="U22" i="15" s="1"/>
  <c r="L20" i="15"/>
  <c r="O20" i="15" s="1"/>
  <c r="F22" i="15"/>
  <c r="I22" i="15" s="1"/>
  <c r="L21" i="15"/>
  <c r="O21" i="15" s="1"/>
  <c r="R23" i="15"/>
  <c r="U23" i="15" s="1"/>
  <c r="F23" i="15"/>
  <c r="I23" i="15" s="1"/>
  <c r="F21" i="15"/>
  <c r="I21" i="15" s="1"/>
  <c r="F24" i="14"/>
  <c r="K22" i="14"/>
  <c r="X22" i="14" s="1"/>
  <c r="G21" i="14"/>
  <c r="X21" i="14" s="1"/>
  <c r="X23" i="14"/>
  <c r="V24" i="14"/>
  <c r="N24" i="14"/>
  <c r="W24" i="14"/>
  <c r="R24" i="14"/>
  <c r="S20" i="14"/>
  <c r="O24" i="14"/>
  <c r="E22" i="11" s="1"/>
  <c r="N85" i="19" l="1"/>
  <c r="H86" i="19"/>
  <c r="M86" i="19"/>
  <c r="C86" i="19"/>
  <c r="N61" i="19"/>
  <c r="B87" i="19"/>
  <c r="F62" i="19"/>
  <c r="G62" i="19"/>
  <c r="G87" i="19" s="1"/>
  <c r="J62" i="19"/>
  <c r="J87" i="19" s="1"/>
  <c r="K62" i="19"/>
  <c r="K87" i="19" s="1"/>
  <c r="E62" i="19"/>
  <c r="E87" i="19" s="1"/>
  <c r="L62" i="19"/>
  <c r="L87" i="19" s="1"/>
  <c r="M62" i="19"/>
  <c r="M87" i="19" s="1"/>
  <c r="H62" i="19"/>
  <c r="H87" i="19" s="1"/>
  <c r="D62" i="19"/>
  <c r="I62" i="19"/>
  <c r="C62" i="19"/>
  <c r="B29" i="1"/>
  <c r="A51" i="2"/>
  <c r="B63" i="19" s="1"/>
  <c r="K86" i="19"/>
  <c r="G24" i="14"/>
  <c r="C22" i="11" s="1"/>
  <c r="I24" i="15"/>
  <c r="C23" i="11" s="1"/>
  <c r="AA24" i="15"/>
  <c r="F23" i="11" s="1"/>
  <c r="AC20" i="15"/>
  <c r="AC21" i="15"/>
  <c r="AC22" i="15"/>
  <c r="AC23" i="15"/>
  <c r="U24" i="15"/>
  <c r="E23" i="11" s="1"/>
  <c r="O24" i="15"/>
  <c r="D23" i="11" s="1"/>
  <c r="K24" i="14"/>
  <c r="D22" i="11" s="1"/>
  <c r="S24" i="14"/>
  <c r="F22" i="11" s="1"/>
  <c r="X20" i="14"/>
  <c r="X24" i="14" s="1"/>
  <c r="F87" i="19" l="1"/>
  <c r="B30" i="1"/>
  <c r="A53" i="2" s="1"/>
  <c r="B65" i="19" s="1"/>
  <c r="A52" i="2"/>
  <c r="B64" i="19" s="1"/>
  <c r="I87" i="19"/>
  <c r="D87" i="19"/>
  <c r="N86" i="19"/>
  <c r="F63" i="19"/>
  <c r="F88" i="19" s="1"/>
  <c r="B88" i="19"/>
  <c r="C63" i="19"/>
  <c r="K63" i="19"/>
  <c r="G63" i="19"/>
  <c r="G88" i="19" s="1"/>
  <c r="E63" i="19"/>
  <c r="L63" i="19"/>
  <c r="L88" i="19" s="1"/>
  <c r="M63" i="19"/>
  <c r="M88" i="19" s="1"/>
  <c r="H63" i="19"/>
  <c r="H88" i="19" s="1"/>
  <c r="D63" i="19"/>
  <c r="D88" i="19" s="1"/>
  <c r="I63" i="19"/>
  <c r="I88" i="19" s="1"/>
  <c r="J63" i="19"/>
  <c r="J88" i="19" s="1"/>
  <c r="C87" i="19"/>
  <c r="N62" i="19"/>
  <c r="AC24" i="15"/>
  <c r="N87" i="19" l="1"/>
  <c r="E88" i="19"/>
  <c r="K88" i="19"/>
  <c r="B89" i="19"/>
  <c r="F64" i="19"/>
  <c r="F89" i="19" s="1"/>
  <c r="D64" i="19"/>
  <c r="D89" i="19" s="1"/>
  <c r="K64" i="19"/>
  <c r="K89" i="19" s="1"/>
  <c r="L64" i="19"/>
  <c r="L89" i="19" s="1"/>
  <c r="M64" i="19"/>
  <c r="M89" i="19" s="1"/>
  <c r="H64" i="19"/>
  <c r="H89" i="19" s="1"/>
  <c r="G64" i="19"/>
  <c r="G89" i="19" s="1"/>
  <c r="I64" i="19"/>
  <c r="I89" i="19" s="1"/>
  <c r="E64" i="19"/>
  <c r="E89" i="19" s="1"/>
  <c r="J64" i="19"/>
  <c r="J89" i="19" s="1"/>
  <c r="C64" i="19"/>
  <c r="C88" i="19"/>
  <c r="N63" i="19"/>
  <c r="B90" i="19"/>
  <c r="F65" i="19"/>
  <c r="L65" i="19"/>
  <c r="K65" i="19"/>
  <c r="K90" i="19" s="1"/>
  <c r="G65" i="19"/>
  <c r="H65" i="19"/>
  <c r="H90" i="19" s="1"/>
  <c r="H97" i="19" s="1"/>
  <c r="M65" i="19"/>
  <c r="I65" i="19"/>
  <c r="I90" i="19" s="1"/>
  <c r="E65" i="19"/>
  <c r="E90" i="19" s="1"/>
  <c r="D65" i="19"/>
  <c r="J65" i="19"/>
  <c r="C65" i="19"/>
  <c r="F14" i="7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I22" i="7"/>
  <c r="I23" i="7"/>
  <c r="I24" i="7"/>
  <c r="I25" i="7"/>
  <c r="I26" i="7"/>
  <c r="I97" i="19" l="1"/>
  <c r="K97" i="19"/>
  <c r="H73" i="19"/>
  <c r="E97" i="19"/>
  <c r="L90" i="19"/>
  <c r="L97" i="19" s="1"/>
  <c r="L73" i="19"/>
  <c r="J90" i="19"/>
  <c r="J97" i="19" s="1"/>
  <c r="J73" i="19"/>
  <c r="N88" i="19"/>
  <c r="D90" i="19"/>
  <c r="D97" i="19" s="1"/>
  <c r="D73" i="19"/>
  <c r="C89" i="19"/>
  <c r="N89" i="19" s="1"/>
  <c r="N64" i="19"/>
  <c r="K73" i="19"/>
  <c r="I73" i="19"/>
  <c r="M90" i="19"/>
  <c r="M97" i="19" s="1"/>
  <c r="M73" i="19"/>
  <c r="F90" i="19"/>
  <c r="F97" i="19" s="1"/>
  <c r="F73" i="19"/>
  <c r="E73" i="19"/>
  <c r="C90" i="19"/>
  <c r="N65" i="19"/>
  <c r="G90" i="19"/>
  <c r="G97" i="19" s="1"/>
  <c r="G73" i="19"/>
  <c r="AJ25" i="7"/>
  <c r="X25" i="7"/>
  <c r="F13" i="7"/>
  <c r="D13" i="16" s="1"/>
  <c r="AK25" i="7"/>
  <c r="AF25" i="7"/>
  <c r="AD25" i="7"/>
  <c r="V25" i="7"/>
  <c r="T25" i="7"/>
  <c r="S25" i="7"/>
  <c r="Q25" i="7"/>
  <c r="AK26" i="7"/>
  <c r="N25" i="7"/>
  <c r="AN25" i="7"/>
  <c r="G25" i="7"/>
  <c r="AL25" i="7"/>
  <c r="AK24" i="7"/>
  <c r="F25" i="7"/>
  <c r="AE24" i="7"/>
  <c r="AE26" i="7"/>
  <c r="AD26" i="7"/>
  <c r="AH25" i="7"/>
  <c r="R25" i="7"/>
  <c r="AD24" i="7"/>
  <c r="Y26" i="7"/>
  <c r="Y24" i="7"/>
  <c r="S26" i="7"/>
  <c r="AE25" i="7"/>
  <c r="P25" i="7"/>
  <c r="S24" i="7"/>
  <c r="R26" i="7"/>
  <c r="R24" i="7"/>
  <c r="M26" i="7"/>
  <c r="AC25" i="7"/>
  <c r="M25" i="7"/>
  <c r="M24" i="7"/>
  <c r="G26" i="7"/>
  <c r="AB25" i="7"/>
  <c r="L25" i="7"/>
  <c r="G24" i="7"/>
  <c r="F26" i="7"/>
  <c r="Z25" i="7"/>
  <c r="J25" i="7"/>
  <c r="F24" i="7"/>
  <c r="AO25" i="7"/>
  <c r="Y25" i="7"/>
  <c r="H25" i="7"/>
  <c r="M22" i="7"/>
  <c r="AF26" i="7"/>
  <c r="T26" i="7"/>
  <c r="H26" i="7"/>
  <c r="AF24" i="7"/>
  <c r="T24" i="7"/>
  <c r="H24" i="7"/>
  <c r="AF23" i="7"/>
  <c r="T23" i="7"/>
  <c r="H23" i="7"/>
  <c r="AF22" i="7"/>
  <c r="T22" i="7"/>
  <c r="H22" i="7"/>
  <c r="AE23" i="7"/>
  <c r="S23" i="7"/>
  <c r="G23" i="7"/>
  <c r="AE22" i="7"/>
  <c r="S22" i="7"/>
  <c r="G22" i="7"/>
  <c r="R23" i="7"/>
  <c r="F23" i="7"/>
  <c r="AD22" i="7"/>
  <c r="F22" i="7"/>
  <c r="AO26" i="7"/>
  <c r="AC26" i="7"/>
  <c r="Q26" i="7"/>
  <c r="AO24" i="7"/>
  <c r="AC24" i="7"/>
  <c r="Q24" i="7"/>
  <c r="AO23" i="7"/>
  <c r="AC23" i="7"/>
  <c r="Q23" i="7"/>
  <c r="AO22" i="7"/>
  <c r="AC22" i="7"/>
  <c r="Q22" i="7"/>
  <c r="R22" i="7"/>
  <c r="AN26" i="7"/>
  <c r="AB26" i="7"/>
  <c r="P26" i="7"/>
  <c r="AN24" i="7"/>
  <c r="AB24" i="7"/>
  <c r="P24" i="7"/>
  <c r="AN23" i="7"/>
  <c r="AB23" i="7"/>
  <c r="P23" i="7"/>
  <c r="AN22" i="7"/>
  <c r="AB22" i="7"/>
  <c r="P22" i="7"/>
  <c r="AM26" i="7"/>
  <c r="AA26" i="7"/>
  <c r="O26" i="7"/>
  <c r="AM25" i="7"/>
  <c r="AA25" i="7"/>
  <c r="O25" i="7"/>
  <c r="AM24" i="7"/>
  <c r="AA24" i="7"/>
  <c r="O24" i="7"/>
  <c r="AM23" i="7"/>
  <c r="AA23" i="7"/>
  <c r="O23" i="7"/>
  <c r="AM22" i="7"/>
  <c r="AA22" i="7"/>
  <c r="O22" i="7"/>
  <c r="AD23" i="7"/>
  <c r="AL26" i="7"/>
  <c r="Z26" i="7"/>
  <c r="N26" i="7"/>
  <c r="AL24" i="7"/>
  <c r="Z24" i="7"/>
  <c r="N24" i="7"/>
  <c r="AL23" i="7"/>
  <c r="Z23" i="7"/>
  <c r="N23" i="7"/>
  <c r="AL22" i="7"/>
  <c r="Z22" i="7"/>
  <c r="N22" i="7"/>
  <c r="M23" i="7"/>
  <c r="AK23" i="7"/>
  <c r="Y23" i="7"/>
  <c r="Y22" i="7"/>
  <c r="AJ26" i="7"/>
  <c r="X26" i="7"/>
  <c r="L26" i="7"/>
  <c r="AJ24" i="7"/>
  <c r="X24" i="7"/>
  <c r="L24" i="7"/>
  <c r="AJ23" i="7"/>
  <c r="X23" i="7"/>
  <c r="L23" i="7"/>
  <c r="AJ22" i="7"/>
  <c r="X22" i="7"/>
  <c r="L22" i="7"/>
  <c r="AI26" i="7"/>
  <c r="W26" i="7"/>
  <c r="K26" i="7"/>
  <c r="AI25" i="7"/>
  <c r="W25" i="7"/>
  <c r="K25" i="7"/>
  <c r="AI24" i="7"/>
  <c r="W24" i="7"/>
  <c r="K24" i="7"/>
  <c r="AI23" i="7"/>
  <c r="W23" i="7"/>
  <c r="K23" i="7"/>
  <c r="AI22" i="7"/>
  <c r="W22" i="7"/>
  <c r="K22" i="7"/>
  <c r="AK22" i="7"/>
  <c r="V26" i="7"/>
  <c r="V23" i="7"/>
  <c r="AH26" i="7"/>
  <c r="J26" i="7"/>
  <c r="AH24" i="7"/>
  <c r="V24" i="7"/>
  <c r="J24" i="7"/>
  <c r="AH23" i="7"/>
  <c r="J23" i="7"/>
  <c r="AH22" i="7"/>
  <c r="V22" i="7"/>
  <c r="J22" i="7"/>
  <c r="AG26" i="7"/>
  <c r="U26" i="7"/>
  <c r="AG25" i="7"/>
  <c r="U25" i="7"/>
  <c r="AG24" i="7"/>
  <c r="U24" i="7"/>
  <c r="AG23" i="7"/>
  <c r="U23" i="7"/>
  <c r="AG22" i="7"/>
  <c r="U22" i="7"/>
  <c r="G13" i="7"/>
  <c r="E13" i="16" s="1"/>
  <c r="G27" i="11"/>
  <c r="E16" i="7"/>
  <c r="E17" i="7"/>
  <c r="C97" i="19" l="1"/>
  <c r="N90" i="19"/>
  <c r="F17" i="7"/>
  <c r="G17" i="7" s="1"/>
  <c r="F16" i="7"/>
  <c r="G16" i="7" s="1"/>
  <c r="G26" i="11"/>
  <c r="H16" i="11" s="1"/>
  <c r="H13" i="7"/>
  <c r="F13" i="16" s="1"/>
  <c r="E26" i="7"/>
  <c r="E25" i="7"/>
  <c r="E24" i="7"/>
  <c r="E23" i="7"/>
  <c r="E22" i="7"/>
  <c r="E21" i="7"/>
  <c r="E20" i="7"/>
  <c r="F20" i="7" s="1"/>
  <c r="E19" i="7"/>
  <c r="F19" i="7" s="1"/>
  <c r="E18" i="7"/>
  <c r="F18" i="7" s="1"/>
  <c r="I14" i="8"/>
  <c r="G19" i="7" l="1"/>
  <c r="F21" i="7"/>
  <c r="G21" i="7" s="1"/>
  <c r="H21" i="7" s="1"/>
  <c r="H16" i="7"/>
  <c r="H19" i="7"/>
  <c r="H17" i="7"/>
  <c r="G18" i="7"/>
  <c r="H18" i="7" s="1"/>
  <c r="G20" i="7"/>
  <c r="H20" i="7" s="1"/>
  <c r="I13" i="7"/>
  <c r="G13" i="16" s="1"/>
  <c r="B36" i="8"/>
  <c r="D36" i="8" s="1"/>
  <c r="E36" i="8" s="1"/>
  <c r="I21" i="8"/>
  <c r="H21" i="8"/>
  <c r="H20" i="8"/>
  <c r="G21" i="8"/>
  <c r="G14" i="8"/>
  <c r="F23" i="4" l="1"/>
  <c r="I16" i="7"/>
  <c r="I21" i="7"/>
  <c r="I20" i="7"/>
  <c r="I19" i="7"/>
  <c r="I17" i="7"/>
  <c r="D23" i="4"/>
  <c r="I18" i="7"/>
  <c r="E23" i="4"/>
  <c r="J13" i="7"/>
  <c r="H13" i="16" s="1"/>
  <c r="I15" i="8"/>
  <c r="B35" i="8"/>
  <c r="J18" i="7" l="1"/>
  <c r="C23" i="4"/>
  <c r="G23" i="4" s="1"/>
  <c r="J19" i="7"/>
  <c r="J21" i="7"/>
  <c r="J17" i="7"/>
  <c r="J20" i="7"/>
  <c r="J16" i="7"/>
  <c r="K13" i="7"/>
  <c r="I13" i="16" s="1"/>
  <c r="B34" i="8"/>
  <c r="K18" i="7" l="1"/>
  <c r="K19" i="7"/>
  <c r="K21" i="7"/>
  <c r="K20" i="7"/>
  <c r="K17" i="7"/>
  <c r="K16" i="7"/>
  <c r="L13" i="7"/>
  <c r="J13" i="16" s="1"/>
  <c r="I22" i="8"/>
  <c r="I23" i="8"/>
  <c r="I24" i="8"/>
  <c r="I25" i="8"/>
  <c r="I26" i="8"/>
  <c r="I27" i="8"/>
  <c r="H22" i="8"/>
  <c r="H23" i="8"/>
  <c r="H24" i="8"/>
  <c r="H25" i="8"/>
  <c r="H26" i="8"/>
  <c r="H27" i="8"/>
  <c r="G22" i="8"/>
  <c r="G23" i="8"/>
  <c r="G24" i="8"/>
  <c r="G25" i="8"/>
  <c r="G26" i="8"/>
  <c r="G27" i="8"/>
  <c r="H15" i="8"/>
  <c r="G18" i="8"/>
  <c r="H18" i="8"/>
  <c r="I18" i="8"/>
  <c r="L17" i="7" l="1"/>
  <c r="L20" i="7"/>
  <c r="L21" i="7"/>
  <c r="L19" i="7"/>
  <c r="L16" i="7"/>
  <c r="L18" i="7"/>
  <c r="M13" i="7"/>
  <c r="K13" i="16" s="1"/>
  <c r="J18" i="8"/>
  <c r="H17" i="8"/>
  <c r="H16" i="8"/>
  <c r="G17" i="8"/>
  <c r="G16" i="8"/>
  <c r="I20" i="8"/>
  <c r="I16" i="8"/>
  <c r="H19" i="8"/>
  <c r="I17" i="8"/>
  <c r="I19" i="8"/>
  <c r="G19" i="8"/>
  <c r="G20" i="8"/>
  <c r="G15" i="8"/>
  <c r="J15" i="8" s="1"/>
  <c r="H14" i="8"/>
  <c r="M21" i="7" l="1"/>
  <c r="M19" i="7"/>
  <c r="M20" i="7"/>
  <c r="M17" i="7"/>
  <c r="M18" i="7"/>
  <c r="M16" i="7"/>
  <c r="N13" i="7"/>
  <c r="L13" i="16" s="1"/>
  <c r="J16" i="8"/>
  <c r="J17" i="8"/>
  <c r="H28" i="8"/>
  <c r="I28" i="8"/>
  <c r="G28" i="8"/>
  <c r="J27" i="8"/>
  <c r="J26" i="8"/>
  <c r="J25" i="8"/>
  <c r="J24" i="8"/>
  <c r="J23" i="8"/>
  <c r="J22" i="8"/>
  <c r="J21" i="8"/>
  <c r="J19" i="8"/>
  <c r="D35" i="8" s="1"/>
  <c r="J20" i="8"/>
  <c r="J14" i="8"/>
  <c r="D34" i="8" s="1"/>
  <c r="N18" i="7" l="1"/>
  <c r="N16" i="7"/>
  <c r="N17" i="7"/>
  <c r="N21" i="7"/>
  <c r="N20" i="7"/>
  <c r="N19" i="7"/>
  <c r="O13" i="7"/>
  <c r="M13" i="16" s="1"/>
  <c r="E34" i="8"/>
  <c r="J28" i="8"/>
  <c r="K28" i="8" s="1"/>
  <c r="B8" i="4"/>
  <c r="C12" i="4"/>
  <c r="O18" i="7" l="1"/>
  <c r="O21" i="7"/>
  <c r="O17" i="7"/>
  <c r="O20" i="7"/>
  <c r="O19" i="7"/>
  <c r="O16" i="7"/>
  <c r="P13" i="7"/>
  <c r="N13" i="16" s="1"/>
  <c r="E35" i="8"/>
  <c r="E37" i="8" s="1"/>
  <c r="D37" i="8"/>
  <c r="P16" i="7" l="1"/>
  <c r="P20" i="7"/>
  <c r="P21" i="7"/>
  <c r="P19" i="7"/>
  <c r="P18" i="7"/>
  <c r="P17" i="7"/>
  <c r="Q13" i="7"/>
  <c r="O13" i="16" s="1"/>
  <c r="Q18" i="7" l="1"/>
  <c r="Q19" i="7"/>
  <c r="Q21" i="7"/>
  <c r="Q16" i="7"/>
  <c r="Q20" i="7"/>
  <c r="Q17" i="7"/>
  <c r="R13" i="7"/>
  <c r="P13" i="16" s="1"/>
  <c r="R16" i="7" l="1"/>
  <c r="R21" i="7"/>
  <c r="R20" i="7"/>
  <c r="R19" i="7"/>
  <c r="R18" i="7"/>
  <c r="R17" i="7"/>
  <c r="S13" i="7"/>
  <c r="Q13" i="16" s="1"/>
  <c r="S17" i="7" l="1"/>
  <c r="S16" i="7"/>
  <c r="S19" i="7"/>
  <c r="S20" i="7"/>
  <c r="S21" i="7"/>
  <c r="S18" i="7"/>
  <c r="T13" i="7"/>
  <c r="R13" i="16" s="1"/>
  <c r="T19" i="7" l="1"/>
  <c r="T16" i="7"/>
  <c r="T20" i="7"/>
  <c r="T21" i="7"/>
  <c r="T18" i="7"/>
  <c r="T17" i="7"/>
  <c r="U13" i="7"/>
  <c r="S13" i="16" s="1"/>
  <c r="F31" i="4"/>
  <c r="U21" i="7" l="1"/>
  <c r="U20" i="7"/>
  <c r="U16" i="7"/>
  <c r="U17" i="7"/>
  <c r="U18" i="7"/>
  <c r="U19" i="7"/>
  <c r="V13" i="7"/>
  <c r="T13" i="16" s="1"/>
  <c r="D31" i="4"/>
  <c r="E31" i="4"/>
  <c r="C31" i="4"/>
  <c r="V21" i="7" l="1"/>
  <c r="V16" i="7"/>
  <c r="V20" i="7"/>
  <c r="V17" i="7"/>
  <c r="V19" i="7"/>
  <c r="V18" i="7"/>
  <c r="W13" i="7"/>
  <c r="U13" i="16" s="1"/>
  <c r="G44" i="4" l="1"/>
  <c r="W16" i="7"/>
  <c r="W21" i="7"/>
  <c r="W20" i="7"/>
  <c r="W19" i="7"/>
  <c r="W17" i="7"/>
  <c r="W18" i="7"/>
  <c r="X13" i="7"/>
  <c r="V13" i="16" s="1"/>
  <c r="G32" i="4"/>
  <c r="G30" i="4"/>
  <c r="G29" i="4"/>
  <c r="G28" i="4"/>
  <c r="G27" i="4"/>
  <c r="G26" i="4"/>
  <c r="G45" i="4"/>
  <c r="G31" i="4"/>
  <c r="X16" i="7" l="1"/>
  <c r="X20" i="7"/>
  <c r="X21" i="7"/>
  <c r="X17" i="7"/>
  <c r="X18" i="7"/>
  <c r="X19" i="7"/>
  <c r="Y13" i="7"/>
  <c r="W13" i="16" s="1"/>
  <c r="F55" i="5"/>
  <c r="J18" i="1" l="1"/>
  <c r="I18" i="1"/>
  <c r="Y16" i="7"/>
  <c r="Y20" i="7"/>
  <c r="Y21" i="7"/>
  <c r="Y19" i="7"/>
  <c r="Y18" i="7"/>
  <c r="Y17" i="7"/>
  <c r="Z13" i="7"/>
  <c r="X13" i="16" s="1"/>
  <c r="I26" i="1" l="1"/>
  <c r="L26" i="1" s="1"/>
  <c r="O61" i="19" s="1"/>
  <c r="I28" i="1"/>
  <c r="L28" i="1" s="1"/>
  <c r="O63" i="19" s="1"/>
  <c r="I30" i="1"/>
  <c r="L30" i="1" s="1"/>
  <c r="O65" i="19" s="1"/>
  <c r="I27" i="1"/>
  <c r="L27" i="1" s="1"/>
  <c r="O62" i="19" s="1"/>
  <c r="I31" i="1"/>
  <c r="L31" i="1" s="1"/>
  <c r="O66" i="19" s="1"/>
  <c r="I24" i="1"/>
  <c r="L24" i="1" s="1"/>
  <c r="O59" i="19" s="1"/>
  <c r="I29" i="1"/>
  <c r="L29" i="1" s="1"/>
  <c r="O64" i="19" s="1"/>
  <c r="I25" i="1"/>
  <c r="L25" i="1" s="1"/>
  <c r="O60" i="19" s="1"/>
  <c r="I19" i="1"/>
  <c r="L19" i="1" s="1"/>
  <c r="O54" i="19" s="1"/>
  <c r="I21" i="1"/>
  <c r="L21" i="1" s="1"/>
  <c r="O56" i="19" s="1"/>
  <c r="I22" i="1"/>
  <c r="L22" i="1" s="1"/>
  <c r="O57" i="19" s="1"/>
  <c r="I23" i="1"/>
  <c r="L23" i="1" s="1"/>
  <c r="O58" i="19" s="1"/>
  <c r="I32" i="1"/>
  <c r="L32" i="1" s="1"/>
  <c r="O67" i="19" s="1"/>
  <c r="I20" i="1"/>
  <c r="L20" i="1" s="1"/>
  <c r="O55" i="19" s="1"/>
  <c r="Z16" i="7"/>
  <c r="Z21" i="7"/>
  <c r="Z17" i="7"/>
  <c r="Z20" i="7"/>
  <c r="Z18" i="7"/>
  <c r="Z19" i="7"/>
  <c r="AA13" i="7"/>
  <c r="Y13" i="16" s="1"/>
  <c r="C24" i="4"/>
  <c r="F24" i="4"/>
  <c r="D24" i="4"/>
  <c r="E24" i="4"/>
  <c r="G24" i="4" l="1"/>
  <c r="G43" i="4" s="1"/>
  <c r="G46" i="4" s="1"/>
  <c r="AA17" i="7"/>
  <c r="AA21" i="7"/>
  <c r="AA16" i="7"/>
  <c r="AA18" i="7"/>
  <c r="AA19" i="7"/>
  <c r="AA20" i="7"/>
  <c r="AB13" i="7"/>
  <c r="Z13" i="16" s="1"/>
  <c r="F25" i="4"/>
  <c r="F22" i="4" s="1"/>
  <c r="F33" i="4" s="1"/>
  <c r="C25" i="4"/>
  <c r="C22" i="4" s="1"/>
  <c r="C33" i="4" s="1"/>
  <c r="E25" i="4"/>
  <c r="E22" i="4" s="1"/>
  <c r="E33" i="4" s="1"/>
  <c r="G22" i="11"/>
  <c r="D25" i="4"/>
  <c r="D22" i="4" s="1"/>
  <c r="D33" i="4" s="1"/>
  <c r="AB20" i="7" l="1"/>
  <c r="AB19" i="7"/>
  <c r="F34" i="4"/>
  <c r="F37" i="4" s="1"/>
  <c r="AB16" i="7"/>
  <c r="AB18" i="7"/>
  <c r="AB21" i="7"/>
  <c r="AB17" i="7"/>
  <c r="AC13" i="7"/>
  <c r="AA13" i="16" s="1"/>
  <c r="C34" i="4"/>
  <c r="C37" i="4" s="1"/>
  <c r="E34" i="4"/>
  <c r="E37" i="4" s="1"/>
  <c r="G25" i="4"/>
  <c r="G22" i="4" s="1"/>
  <c r="G34" i="4" s="1"/>
  <c r="G23" i="11"/>
  <c r="G15" i="11" s="1"/>
  <c r="D34" i="4"/>
  <c r="D37" i="4" s="1"/>
  <c r="G42" i="11" l="1"/>
  <c r="G45" i="11" s="1"/>
  <c r="G33" i="4"/>
  <c r="G37" i="4" s="1"/>
  <c r="AC21" i="7"/>
  <c r="AC18" i="7"/>
  <c r="AC16" i="7"/>
  <c r="AC19" i="7"/>
  <c r="AC17" i="7"/>
  <c r="AC20" i="7"/>
  <c r="AD13" i="7"/>
  <c r="AB13" i="16" s="1"/>
  <c r="E35" i="4"/>
  <c r="E36" i="4" s="1"/>
  <c r="F35" i="4"/>
  <c r="F36" i="4" s="1"/>
  <c r="C35" i="4"/>
  <c r="C36" i="4" s="1"/>
  <c r="D35" i="4"/>
  <c r="D36" i="4" s="1"/>
  <c r="AD16" i="7" l="1"/>
  <c r="AD18" i="7"/>
  <c r="AD17" i="7"/>
  <c r="AD20" i="7"/>
  <c r="AD19" i="7"/>
  <c r="AD21" i="7"/>
  <c r="AE13" i="7"/>
  <c r="AC13" i="16" s="1"/>
  <c r="G35" i="4"/>
  <c r="G36" i="4" s="1"/>
  <c r="I37" i="4"/>
  <c r="C44" i="4"/>
  <c r="C43" i="4"/>
  <c r="AE21" i="7" l="1"/>
  <c r="AE16" i="7"/>
  <c r="AE18" i="7"/>
  <c r="AE17" i="7"/>
  <c r="AE20" i="7"/>
  <c r="AE19" i="7"/>
  <c r="AF13" i="7"/>
  <c r="AD13" i="16" s="1"/>
  <c r="G42" i="4"/>
  <c r="G47" i="4" s="1"/>
  <c r="G48" i="4" s="1"/>
  <c r="AF19" i="7" l="1"/>
  <c r="AF20" i="7"/>
  <c r="AF16" i="7"/>
  <c r="AF18" i="7"/>
  <c r="AF17" i="7"/>
  <c r="AF21" i="7"/>
  <c r="AG13" i="7"/>
  <c r="AE13" i="16" s="1"/>
  <c r="AG17" i="7" l="1"/>
  <c r="AG18" i="7"/>
  <c r="AG16" i="7"/>
  <c r="AG21" i="7"/>
  <c r="AG20" i="7"/>
  <c r="AG19" i="7"/>
  <c r="AH13" i="7"/>
  <c r="AF13" i="16" s="1"/>
  <c r="AH16" i="7" l="1"/>
  <c r="AH18" i="7"/>
  <c r="AH17" i="7"/>
  <c r="AH19" i="7"/>
  <c r="AH20" i="7"/>
  <c r="AH21" i="7"/>
  <c r="AI13" i="7"/>
  <c r="AG13" i="16" s="1"/>
  <c r="AI16" i="7" l="1"/>
  <c r="AI18" i="7"/>
  <c r="AI17" i="7"/>
  <c r="AI20" i="7"/>
  <c r="AI21" i="7"/>
  <c r="AI19" i="7"/>
  <c r="AJ13" i="7"/>
  <c r="AH13" i="16" s="1"/>
  <c r="AJ16" i="7" l="1"/>
  <c r="AJ18" i="7"/>
  <c r="AJ17" i="7"/>
  <c r="AJ21" i="7"/>
  <c r="AJ20" i="7"/>
  <c r="AJ19" i="7"/>
  <c r="AK13" i="7"/>
  <c r="AI13" i="16" s="1"/>
  <c r="AK21" i="7" l="1"/>
  <c r="AK16" i="7"/>
  <c r="AK18" i="7"/>
  <c r="AK17" i="7"/>
  <c r="AK19" i="7"/>
  <c r="AK20" i="7"/>
  <c r="AL13" i="7"/>
  <c r="AJ13" i="16" s="1"/>
  <c r="AL20" i="7" l="1"/>
  <c r="AL18" i="7"/>
  <c r="AL17" i="7"/>
  <c r="AL16" i="7"/>
  <c r="AL21" i="7"/>
  <c r="AL19" i="7"/>
  <c r="AM13" i="7"/>
  <c r="AK13" i="16" s="1"/>
  <c r="AM19" i="7" l="1"/>
  <c r="AM17" i="7"/>
  <c r="AM21" i="7"/>
  <c r="AM18" i="7"/>
  <c r="AM16" i="7"/>
  <c r="AM20" i="7"/>
  <c r="AN13" i="7"/>
  <c r="AL13" i="16" s="1"/>
  <c r="AN16" i="7" l="1"/>
  <c r="AN18" i="7"/>
  <c r="AN17" i="7"/>
  <c r="AN21" i="7"/>
  <c r="AN20" i="7"/>
  <c r="AN19" i="7"/>
  <c r="AO13" i="7"/>
  <c r="AM13" i="16" s="1"/>
  <c r="AQ48" i="16" l="1"/>
  <c r="AO49" i="16"/>
  <c r="AR49" i="16"/>
  <c r="AQ49" i="16"/>
  <c r="AP49" i="16"/>
  <c r="AP48" i="16"/>
  <c r="AR48" i="16"/>
  <c r="AO48" i="16"/>
  <c r="AO46" i="16"/>
  <c r="AQ45" i="16"/>
  <c r="AQ46" i="16"/>
  <c r="AO45" i="16"/>
  <c r="AP46" i="16"/>
  <c r="AQ44" i="16"/>
  <c r="AP45" i="16"/>
  <c r="AR44" i="16"/>
  <c r="AO44" i="16"/>
  <c r="AR46" i="16"/>
  <c r="AR45" i="16"/>
  <c r="AP44" i="16"/>
  <c r="AO63" i="16"/>
  <c r="AP63" i="16"/>
  <c r="AO60" i="16"/>
  <c r="AP60" i="16"/>
  <c r="AO62" i="16"/>
  <c r="AQ64" i="16"/>
  <c r="AQ63" i="16"/>
  <c r="AR61" i="16"/>
  <c r="AR63" i="16"/>
  <c r="AR62" i="16"/>
  <c r="AO61" i="16"/>
  <c r="AO64" i="16"/>
  <c r="AR60" i="16"/>
  <c r="AP64" i="16"/>
  <c r="AR64" i="16"/>
  <c r="AR86" i="16"/>
  <c r="AO34" i="16"/>
  <c r="AP71" i="16"/>
  <c r="AO82" i="16"/>
  <c r="AQ35" i="16"/>
  <c r="AR68" i="16"/>
  <c r="AO57" i="16"/>
  <c r="AP78" i="16"/>
  <c r="AQ66" i="16"/>
  <c r="AP39" i="16"/>
  <c r="AP66" i="16"/>
  <c r="AP25" i="16"/>
  <c r="AQ75" i="16"/>
  <c r="AR51" i="16"/>
  <c r="AR77" i="16"/>
  <c r="AR39" i="16"/>
  <c r="AR24" i="16"/>
  <c r="AR66" i="16"/>
  <c r="AP23" i="16"/>
  <c r="AQ67" i="16"/>
  <c r="AP41" i="16"/>
  <c r="AO76" i="16"/>
  <c r="AO41" i="16"/>
  <c r="AQ87" i="16"/>
  <c r="AO92" i="16"/>
  <c r="AQ86" i="16"/>
  <c r="AR35" i="16"/>
  <c r="AP68" i="16"/>
  <c r="AQ90" i="16"/>
  <c r="AR75" i="16"/>
  <c r="AR37" i="16"/>
  <c r="AP89" i="16"/>
  <c r="AQ38" i="16"/>
  <c r="AP84" i="16"/>
  <c r="AP73" i="16"/>
  <c r="AQ29" i="16"/>
  <c r="AQ59" i="16"/>
  <c r="AO33" i="16"/>
  <c r="AP81" i="16"/>
  <c r="AR80" i="16"/>
  <c r="AO81" i="16"/>
  <c r="AQ42" i="16"/>
  <c r="AO30" i="16"/>
  <c r="AO86" i="16"/>
  <c r="AQ83" i="16"/>
  <c r="AQ91" i="16"/>
  <c r="AO65" i="16"/>
  <c r="AP58" i="16"/>
  <c r="AR71" i="16"/>
  <c r="AQ39" i="16"/>
  <c r="AR58" i="16"/>
  <c r="AR41" i="16"/>
  <c r="AO39" i="16"/>
  <c r="AP37" i="16"/>
  <c r="AO26" i="16"/>
  <c r="AQ88" i="16"/>
  <c r="AO68" i="16"/>
  <c r="AO93" i="16"/>
  <c r="AQ50" i="16"/>
  <c r="AR88" i="16"/>
  <c r="AO89" i="16"/>
  <c r="AP82" i="16"/>
  <c r="AR54" i="16"/>
  <c r="AO51" i="16"/>
  <c r="AP43" i="16"/>
  <c r="AQ93" i="16"/>
  <c r="AQ54" i="16"/>
  <c r="AP42" i="16"/>
  <c r="AQ68" i="16"/>
  <c r="AR40" i="16"/>
  <c r="AO38" i="16"/>
  <c r="AP27" i="16"/>
  <c r="AO54" i="16"/>
  <c r="AP83" i="16"/>
  <c r="AO70" i="16"/>
  <c r="AP69" i="16"/>
  <c r="AQ58" i="16"/>
  <c r="AP29" i="16"/>
  <c r="AQ31" i="16"/>
  <c r="AR59" i="16"/>
  <c r="AO84" i="16"/>
  <c r="AR29" i="16"/>
  <c r="AR43" i="16"/>
  <c r="AO87" i="16"/>
  <c r="AP93" i="16"/>
  <c r="AR57" i="16"/>
  <c r="AQ77" i="16"/>
  <c r="AP38" i="16"/>
  <c r="AQ40" i="16"/>
  <c r="AR90" i="16"/>
  <c r="AO71" i="16"/>
  <c r="AQ47" i="16"/>
  <c r="AR34" i="16"/>
  <c r="AO35" i="16"/>
  <c r="AR78" i="16"/>
  <c r="AR85" i="16"/>
  <c r="AR76" i="16"/>
  <c r="AQ28" i="16"/>
  <c r="AP35" i="16"/>
  <c r="AR47" i="16"/>
  <c r="AR27" i="16"/>
  <c r="AR93" i="16"/>
  <c r="AQ70" i="16"/>
  <c r="AP86" i="16"/>
  <c r="AP53" i="16"/>
  <c r="AR52" i="16"/>
  <c r="AP80" i="16"/>
  <c r="AR31" i="16"/>
  <c r="AR91" i="16"/>
  <c r="AQ53" i="16"/>
  <c r="AQ78" i="16"/>
  <c r="AR30" i="16"/>
  <c r="AP85" i="16"/>
  <c r="AO91" i="16"/>
  <c r="AQ65" i="16"/>
  <c r="AQ82" i="16"/>
  <c r="AP47" i="16"/>
  <c r="AP92" i="16"/>
  <c r="AP72" i="16"/>
  <c r="AR83" i="16"/>
  <c r="AP50" i="16"/>
  <c r="AQ71" i="16"/>
  <c r="AO40" i="16"/>
  <c r="AR32" i="16"/>
  <c r="AR23" i="16"/>
  <c r="AQ92" i="16"/>
  <c r="AO77" i="16"/>
  <c r="AO29" i="16"/>
  <c r="AR33" i="16"/>
  <c r="AR36" i="16"/>
  <c r="AR69" i="16"/>
  <c r="AP34" i="16"/>
  <c r="AQ72" i="16"/>
  <c r="AO42" i="16"/>
  <c r="AO25" i="16"/>
  <c r="AO43" i="16"/>
  <c r="AO90" i="16"/>
  <c r="AO69" i="16"/>
  <c r="AP70" i="16"/>
  <c r="AQ37" i="16"/>
  <c r="AP87" i="16"/>
  <c r="AP30" i="16"/>
  <c r="AQ81" i="16"/>
  <c r="AQ80" i="16"/>
  <c r="AQ33" i="16"/>
  <c r="AP31" i="16"/>
  <c r="AQ55" i="16"/>
  <c r="AR28" i="16"/>
  <c r="AO73" i="16"/>
  <c r="AO36" i="16"/>
  <c r="AO74" i="16"/>
  <c r="AQ34" i="16"/>
  <c r="AR26" i="16"/>
  <c r="AP32" i="16"/>
  <c r="AP65" i="16"/>
  <c r="AR55" i="16"/>
  <c r="AQ32" i="16"/>
  <c r="AQ79" i="16"/>
  <c r="AP40" i="16"/>
  <c r="AQ36" i="16"/>
  <c r="AO59" i="16"/>
  <c r="AO85" i="16"/>
  <c r="AP91" i="16"/>
  <c r="AR25" i="16"/>
  <c r="AQ24" i="16"/>
  <c r="AP76" i="16"/>
  <c r="AQ41" i="16"/>
  <c r="AQ43" i="16"/>
  <c r="AR72" i="16"/>
  <c r="AR67" i="16"/>
  <c r="AO32" i="16"/>
  <c r="AO66" i="16"/>
  <c r="AO56" i="16"/>
  <c r="AR50" i="16"/>
  <c r="AO58" i="16"/>
  <c r="AR79" i="16"/>
  <c r="AQ76" i="16"/>
  <c r="AR81" i="16"/>
  <c r="AP36" i="16"/>
  <c r="AO27" i="16"/>
  <c r="AP33" i="16"/>
  <c r="AO50" i="16"/>
  <c r="AO80" i="16"/>
  <c r="AP74" i="16"/>
  <c r="AR92" i="16"/>
  <c r="AP90" i="16"/>
  <c r="AR38" i="16"/>
  <c r="AP26" i="16"/>
  <c r="AQ74" i="16"/>
  <c r="AQ89" i="16"/>
  <c r="AR70" i="16"/>
  <c r="AQ84" i="16"/>
  <c r="AO31" i="16"/>
  <c r="AQ23" i="16"/>
  <c r="AO23" i="16"/>
  <c r="AO52" i="16"/>
  <c r="AO53" i="16"/>
  <c r="AP75" i="16"/>
  <c r="AR82" i="16"/>
  <c r="AO24" i="16"/>
  <c r="AR87" i="16"/>
  <c r="AQ30" i="16"/>
  <c r="AO79" i="16"/>
  <c r="AP54" i="16"/>
  <c r="AR74" i="16"/>
  <c r="AO28" i="16"/>
  <c r="AQ73" i="16"/>
  <c r="AO75" i="16"/>
  <c r="AO47" i="16"/>
  <c r="AP79" i="16"/>
  <c r="AQ85" i="16"/>
  <c r="AR73" i="16"/>
  <c r="AR53" i="16"/>
  <c r="AO55" i="16"/>
  <c r="AO88" i="16"/>
  <c r="AP24" i="16"/>
  <c r="AO78" i="16"/>
  <c r="AO67" i="16"/>
  <c r="AR56" i="16"/>
  <c r="AP67" i="16"/>
  <c r="AO83" i="16"/>
  <c r="AP88" i="16"/>
  <c r="AO37" i="16"/>
  <c r="AR84" i="16"/>
  <c r="AQ25" i="16"/>
  <c r="AR42" i="16"/>
  <c r="AP59" i="16"/>
  <c r="AR65" i="16"/>
  <c r="AR89" i="16"/>
  <c r="AQ69" i="16"/>
  <c r="AO72" i="16"/>
  <c r="AP28" i="16"/>
  <c r="AQ26" i="16"/>
  <c r="AP77" i="16"/>
  <c r="AQ27" i="16"/>
  <c r="AP96" i="16"/>
  <c r="AR110" i="16"/>
  <c r="AP16" i="16"/>
  <c r="AQ20" i="16"/>
  <c r="AQ107" i="16"/>
  <c r="AR102" i="16"/>
  <c r="AO114" i="16"/>
  <c r="AR121" i="16"/>
  <c r="AP107" i="16"/>
  <c r="AQ99" i="16"/>
  <c r="AQ113" i="16"/>
  <c r="AQ16" i="16"/>
  <c r="AO113" i="16"/>
  <c r="AR20" i="16"/>
  <c r="AO103" i="16"/>
  <c r="AO17" i="16"/>
  <c r="AP22" i="16"/>
  <c r="AP121" i="16"/>
  <c r="AP20" i="16"/>
  <c r="AP109" i="16"/>
  <c r="AR112" i="16"/>
  <c r="AR105" i="16"/>
  <c r="AR16" i="16"/>
  <c r="AP106" i="16"/>
  <c r="AR96" i="16"/>
  <c r="AO108" i="16"/>
  <c r="AR99" i="16"/>
  <c r="AQ108" i="16"/>
  <c r="AP19" i="16"/>
  <c r="AO20" i="16"/>
  <c r="AO106" i="16"/>
  <c r="AP18" i="16"/>
  <c r="AQ96" i="16"/>
  <c r="AO100" i="16"/>
  <c r="AO107" i="16"/>
  <c r="AQ102" i="16"/>
  <c r="AR101" i="16"/>
  <c r="AO94" i="16"/>
  <c r="AQ17" i="16"/>
  <c r="AO105" i="16"/>
  <c r="AR97" i="16"/>
  <c r="AO97" i="16"/>
  <c r="AR22" i="16"/>
  <c r="AR19" i="16"/>
  <c r="AO101" i="16"/>
  <c r="AQ111" i="16"/>
  <c r="AR119" i="16"/>
  <c r="AO117" i="16"/>
  <c r="AR106" i="16"/>
  <c r="AR109" i="16"/>
  <c r="AR95" i="16"/>
  <c r="AQ119" i="16"/>
  <c r="AQ94" i="16"/>
  <c r="AQ120" i="16"/>
  <c r="AQ112" i="16"/>
  <c r="AQ116" i="16"/>
  <c r="AQ22" i="16"/>
  <c r="AO99" i="16"/>
  <c r="AP108" i="16"/>
  <c r="AQ97" i="16"/>
  <c r="AR15" i="16"/>
  <c r="AQ103" i="16"/>
  <c r="AO116" i="16"/>
  <c r="AR116" i="16"/>
  <c r="AQ19" i="16"/>
  <c r="AP17" i="16"/>
  <c r="AR107" i="16"/>
  <c r="AO121" i="16"/>
  <c r="AR104" i="16"/>
  <c r="AP111" i="16"/>
  <c r="AR94" i="16"/>
  <c r="AR100" i="16"/>
  <c r="AO96" i="16"/>
  <c r="AQ100" i="16"/>
  <c r="AR118" i="16"/>
  <c r="AR21" i="16"/>
  <c r="AP110" i="16"/>
  <c r="AP97" i="16"/>
  <c r="AQ15" i="16"/>
  <c r="AQ21" i="16"/>
  <c r="AO104" i="16"/>
  <c r="AP98" i="16"/>
  <c r="AP120" i="16"/>
  <c r="AP101" i="16"/>
  <c r="AQ104" i="16"/>
  <c r="AQ101" i="16"/>
  <c r="AR115" i="16"/>
  <c r="AO21" i="16"/>
  <c r="AR108" i="16"/>
  <c r="AO22" i="16"/>
  <c r="AR98" i="16"/>
  <c r="AP95" i="16"/>
  <c r="AQ95" i="16"/>
  <c r="AP104" i="16"/>
  <c r="AQ110" i="16"/>
  <c r="AP112" i="16"/>
  <c r="AP116" i="16"/>
  <c r="AO19" i="16"/>
  <c r="AO110" i="16"/>
  <c r="AR18" i="16"/>
  <c r="AP102" i="16"/>
  <c r="AQ117" i="16"/>
  <c r="AO111" i="16"/>
  <c r="AQ18" i="16"/>
  <c r="AP21" i="16"/>
  <c r="AP94" i="16"/>
  <c r="AO18" i="16"/>
  <c r="AP115" i="16"/>
  <c r="AQ106" i="16"/>
  <c r="AQ98" i="16"/>
  <c r="AQ105" i="16"/>
  <c r="AO16" i="16"/>
  <c r="AP15" i="16"/>
  <c r="AR113" i="16"/>
  <c r="AQ114" i="16"/>
  <c r="AR111" i="16"/>
  <c r="AR17" i="16"/>
  <c r="AO120" i="16"/>
  <c r="AO115" i="16"/>
  <c r="AO95" i="16"/>
  <c r="AQ115" i="16"/>
  <c r="AP113" i="16"/>
  <c r="AP103" i="16"/>
  <c r="AR120" i="16"/>
  <c r="AO112" i="16"/>
  <c r="AO109" i="16"/>
  <c r="AO102" i="16"/>
  <c r="AO15" i="16"/>
  <c r="AQ121" i="16"/>
  <c r="AP100" i="16"/>
  <c r="AP99" i="16"/>
  <c r="AO98" i="16"/>
  <c r="AP118" i="16"/>
  <c r="AR114" i="16"/>
  <c r="AQ109" i="16"/>
  <c r="AR103" i="16"/>
  <c r="AO119" i="16"/>
  <c r="AP117" i="16"/>
  <c r="AP114" i="16"/>
  <c r="AP105" i="16"/>
  <c r="AO118" i="16"/>
  <c r="AQ118" i="16"/>
  <c r="AR117" i="16"/>
  <c r="AP119" i="16"/>
  <c r="AO18" i="7"/>
  <c r="AO20" i="7"/>
  <c r="AO21" i="7"/>
  <c r="AO16" i="7"/>
  <c r="AO17" i="7"/>
  <c r="AO19" i="7"/>
  <c r="C21" i="19" l="1"/>
  <c r="C37" i="19" s="1"/>
  <c r="F21" i="19"/>
  <c r="F37" i="19" s="1"/>
  <c r="C19" i="19"/>
  <c r="C35" i="19" s="1"/>
  <c r="E19" i="19"/>
  <c r="E35" i="19" s="1"/>
  <c r="F19" i="19"/>
  <c r="F35" i="19" s="1"/>
  <c r="D35" i="19"/>
  <c r="C18" i="19"/>
  <c r="C34" i="19" s="1"/>
  <c r="D18" i="19"/>
  <c r="D34" i="19" s="1"/>
  <c r="D23" i="19"/>
  <c r="D39" i="19" s="1"/>
  <c r="D22" i="19"/>
  <c r="D38" i="19" s="1"/>
  <c r="E18" i="19"/>
  <c r="E34" i="19" s="1"/>
  <c r="C23" i="19"/>
  <c r="C39" i="19" s="1"/>
  <c r="F23" i="19"/>
  <c r="F39" i="19" s="1"/>
  <c r="E23" i="19"/>
  <c r="E39" i="19" s="1"/>
  <c r="C22" i="19"/>
  <c r="C38" i="19" s="1"/>
  <c r="E22" i="19"/>
  <c r="E38" i="19" s="1"/>
  <c r="D20" i="19"/>
  <c r="D36" i="19" s="1"/>
  <c r="D21" i="19"/>
  <c r="D37" i="19" s="1"/>
  <c r="E20" i="19"/>
  <c r="E36" i="19" s="1"/>
  <c r="E21" i="19"/>
  <c r="E37" i="19" s="1"/>
  <c r="C20" i="19"/>
  <c r="C36" i="19" s="1"/>
  <c r="F22" i="19"/>
  <c r="F38" i="19" s="1"/>
  <c r="F20" i="19"/>
  <c r="F36" i="19" s="1"/>
  <c r="F18" i="19"/>
  <c r="F34" i="19" s="1"/>
  <c r="O72" i="19"/>
  <c r="N94" i="19"/>
  <c r="N93" i="19"/>
  <c r="N68" i="19"/>
  <c r="N73" i="19" s="1"/>
  <c r="C73" i="19"/>
  <c r="AR122" i="16"/>
  <c r="AP122" i="16"/>
  <c r="AQ122" i="16"/>
  <c r="AO122" i="16"/>
  <c r="N97" i="19" l="1"/>
  <c r="G19" i="19"/>
  <c r="H19" i="19" s="1"/>
  <c r="G35" i="19"/>
  <c r="G23" i="19"/>
  <c r="H23" i="19" s="1"/>
  <c r="G39" i="19"/>
  <c r="D29" i="19"/>
  <c r="E45" i="19"/>
  <c r="E47" i="19" s="1"/>
  <c r="G21" i="19"/>
  <c r="H21" i="19" s="1"/>
  <c r="E29" i="19"/>
  <c r="G37" i="19"/>
  <c r="C29" i="19"/>
  <c r="C45" i="19"/>
  <c r="C47" i="19" s="1"/>
  <c r="F29" i="19"/>
  <c r="G18" i="19"/>
  <c r="H18" i="19" s="1"/>
  <c r="G36" i="19"/>
  <c r="G38" i="19"/>
  <c r="G22" i="19"/>
  <c r="H22" i="19" s="1"/>
  <c r="G20" i="19"/>
  <c r="H20" i="19" s="1"/>
  <c r="O73" i="19"/>
  <c r="F45" i="19"/>
  <c r="F47" i="19" s="1"/>
  <c r="D45" i="19"/>
  <c r="D47" i="19" s="1"/>
  <c r="G34" i="19"/>
  <c r="F21" i="11" l="1"/>
  <c r="C21" i="11"/>
  <c r="C20" i="11" s="1"/>
  <c r="C32" i="11" s="1"/>
  <c r="C33" i="11" s="1"/>
  <c r="C34" i="11" s="1"/>
  <c r="C37" i="11" s="1"/>
  <c r="D21" i="11"/>
  <c r="D20" i="11" s="1"/>
  <c r="D32" i="11" s="1"/>
  <c r="D33" i="11" s="1"/>
  <c r="D34" i="11" s="1"/>
  <c r="E21" i="11"/>
  <c r="E20" i="11" s="1"/>
  <c r="E32" i="11" s="1"/>
  <c r="E33" i="11" s="1"/>
  <c r="E34" i="11" s="1"/>
  <c r="E37" i="11" s="1"/>
  <c r="H29" i="19"/>
  <c r="G45" i="19"/>
  <c r="G29" i="19"/>
  <c r="G47" i="19" l="1"/>
  <c r="G13" i="11" s="1"/>
  <c r="G12" i="11"/>
  <c r="G14" i="11" s="1"/>
  <c r="F20" i="11"/>
  <c r="F32" i="11" s="1"/>
  <c r="F33" i="11" s="1"/>
  <c r="F34" i="11" s="1"/>
  <c r="F37" i="11" s="1"/>
  <c r="G21" i="11"/>
  <c r="G20" i="11" s="1"/>
  <c r="G32" i="11" s="1"/>
  <c r="G33" i="11" s="1"/>
  <c r="F41" i="5" s="1"/>
  <c r="D37" i="11"/>
  <c r="G34" i="11" l="1"/>
  <c r="F39" i="5" s="1"/>
  <c r="G37" i="11"/>
  <c r="G41" i="11" s="1"/>
  <c r="G46" i="11" s="1"/>
  <c r="G16" i="11"/>
  <c r="G47" i="11" l="1"/>
  <c r="G39" i="11"/>
</calcChain>
</file>

<file path=xl/comments1.xml><?xml version="1.0" encoding="utf-8"?>
<comments xmlns="http://schemas.openxmlformats.org/spreadsheetml/2006/main">
  <authors>
    <author>Maria Cruz</author>
  </authors>
  <commentList>
    <comment ref="B25" authorId="0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Nos contratos de trabalho, as despesas têm por base os custos incorridos com a realização do projeto, tendo como referência o salário base mensal declarado para efeitos de proteção social do trabalhador, o qual pode ser acrescido dos encargos sociais obrigatórios, do subsídio de alimentação e do seguro de acidentes de trabalho nos termos legalmente definidos. 
Considera-se salário base o conjunto de todas as remunerações de carácter certo e permanente sujeitas a tributação fiscal e declaradas para efeitos de proteção social do trabalhador.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Despesas com missões no país e no estrangeiro diretamente imputáveis ao projeto - 
(travel, accommodation, registration fees, etc.) in Portugal and abroad, and directly attributable to the project;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relacionados diretamente com a execução do projeto, incluindo os custos de consultores que não configurem subcontratos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Despesas com a demonstração, promoção e divulgação dos resultados do projeto, nomeadamente taxas de publicação no cumprimento e de acordo com as políticas nacionais de acesso aberto.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quando imprescindíveis à realização do projeto nomeadamente por questões ambientais e de segurança, limitadas a um máximo de 10% das despesas elegíveis totais do projeto;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Despesas associadas ao registo nacional e estrangeiro de patentes, direitos de autor, modelos de utilidade e desenhos, modelos nacionais ou marcas, quando associadas às outras formas de proteção intelectual, designadamente, taxas, pesquisas ao estado da técnica e despesas de consultoria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 AMORTIZAÇÃO - imprescindíveis ao projeto, cujo período de vida útil esteja contido no período de execução, mas não se esgote no mesmo;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calculados com base em custos simplificados, assentes na aplicação da taxa fixa de 25% dos custos elegíveis diretos, com exclusão da subcontratação.</t>
        </r>
      </text>
    </comment>
  </commentList>
</comments>
</file>

<file path=xl/comments2.xml><?xml version="1.0" encoding="utf-8"?>
<comments xmlns="http://schemas.openxmlformats.org/spreadsheetml/2006/main">
  <authors>
    <author>Maria João Cruz</author>
    <author>Maria Cruz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Maria João Cruz:</t>
        </r>
        <r>
          <rPr>
            <sz val="9"/>
            <color indexed="81"/>
            <rFont val="Tahoma"/>
            <family val="2"/>
          </rPr>
          <t xml:space="preserve">
A exclusividade é a regra, tal com previsto no DL 57
Artigo 7.º
Regime de exercício de funções
1 - O exercício de funções em instituições públicas pelos doutorados é efetuado, em regra, em regime de dedicação
exclusiva, podendo, por opção do doutorado, realizar-se em regime de tempo integral
Entendo que podes, se essa for a opção do investigador que for contratado, mas não é possível abrir o concurso especificamente para o tempo integral</t>
        </r>
      </text>
    </comment>
    <comment ref="A24" authorId="1" shapeId="0">
      <text>
        <r>
          <rPr>
            <b/>
            <sz val="9"/>
            <color indexed="81"/>
            <rFont val="Tahoma"/>
            <family val="2"/>
          </rPr>
          <t>Maria Cruz:</t>
        </r>
        <r>
          <rPr>
            <sz val="9"/>
            <color indexed="81"/>
            <rFont val="Tahoma"/>
            <family val="2"/>
          </rPr>
          <t xml:space="preserve">
Nos contratos de trabalho, as despesas têm por base os custos incorridos com a realização do projeto, tendo como referência o salário base mensal declarado para efeitos de proteção social do trabalhador, o qual pode ser acrescido dos encargos sociais obrigatórios, do subsídio de alimentação e do seguro de acidentes de trabalho nos termos legalmente definidos. 
Considera-se salário base o conjunto de todas as remunerações de carácter certo e permanente sujeitas a tributação fiscal e declaradas para efeitos de proteção social do trabalhador.</t>
        </r>
      </text>
    </comment>
  </commentList>
</comments>
</file>

<file path=xl/sharedStrings.xml><?xml version="1.0" encoding="utf-8"?>
<sst xmlns="http://schemas.openxmlformats.org/spreadsheetml/2006/main" count="615" uniqueCount="279">
  <si>
    <t>PROJETO</t>
  </si>
  <si>
    <t>Tipologia de Projeto</t>
  </si>
  <si>
    <t>Acrónimo e Título</t>
  </si>
  <si>
    <t>Referência</t>
  </si>
  <si>
    <t>Unid. Orgânica</t>
  </si>
  <si>
    <t>Unidade I&amp;D</t>
  </si>
  <si>
    <t>Data início</t>
  </si>
  <si>
    <t xml:space="preserve">Duração
Nº Meses </t>
  </si>
  <si>
    <t>Data de fim</t>
  </si>
  <si>
    <t>Orçamento elegível</t>
  </si>
  <si>
    <t>Taxa de overheads</t>
  </si>
  <si>
    <t>Overheads</t>
  </si>
  <si>
    <t>ATIVIDADES</t>
  </si>
  <si>
    <t>Número</t>
  </si>
  <si>
    <t>Designação</t>
  </si>
  <si>
    <t>Data de Início</t>
  </si>
  <si>
    <t>A1</t>
  </si>
  <si>
    <t>A2</t>
  </si>
  <si>
    <t>A3</t>
  </si>
  <si>
    <t>A4</t>
  </si>
  <si>
    <t>A5</t>
  </si>
  <si>
    <t>A6</t>
  </si>
  <si>
    <t>A7</t>
  </si>
  <si>
    <t>Sim</t>
  </si>
  <si>
    <t>1.DISTRIBUIÇÂO DA EQUIPA POR ATIVIDADES E POR EQUIPA DE INVESTIGAÇÂO</t>
  </si>
  <si>
    <t>TOTAL</t>
  </si>
  <si>
    <t>Membro da Equipa de Investigação</t>
  </si>
  <si>
    <t>ATIVIDADE</t>
  </si>
  <si>
    <t>Universidade do Algarve</t>
  </si>
  <si>
    <t>Entidade A</t>
  </si>
  <si>
    <t>FTE</t>
  </si>
  <si>
    <t>Montante associado à OCS</t>
  </si>
  <si>
    <t>1ETI/MÊS</t>
  </si>
  <si>
    <t>2. DETALHE DE EQUIPA POR ANO</t>
  </si>
  <si>
    <t>Beneficiário</t>
  </si>
  <si>
    <t>NOME</t>
  </si>
  <si>
    <t>Vínculo</t>
  </si>
  <si>
    <t>Total</t>
  </si>
  <si>
    <t>TOTAL FINANCEIRO</t>
  </si>
  <si>
    <t>2. QUADRO FINANCEIRO</t>
  </si>
  <si>
    <t>CUSTO TOTAL</t>
  </si>
  <si>
    <t>(Valor a ser distribuído da Universidade do Algarve)</t>
  </si>
  <si>
    <t xml:space="preserve">Ref.ª Candidatura: </t>
  </si>
  <si>
    <t xml:space="preserve">Titulo Candidatura: </t>
  </si>
  <si>
    <t>Investigador Responsável (IR):</t>
  </si>
  <si>
    <t>Data Inicio:</t>
  </si>
  <si>
    <t>N.º Meses:</t>
  </si>
  <si>
    <t>Pessoal técnico do beneficiário</t>
  </si>
  <si>
    <t>Tipo de bolsa</t>
  </si>
  <si>
    <t>Valor mensal</t>
  </si>
  <si>
    <t>N.º Meses</t>
  </si>
  <si>
    <t>Seg. Social Voluntário</t>
  </si>
  <si>
    <t>Valor</t>
  </si>
  <si>
    <t>2024 Total</t>
  </si>
  <si>
    <t>2025  Total</t>
  </si>
  <si>
    <t>2026 Total</t>
  </si>
  <si>
    <t>2027 Total</t>
  </si>
  <si>
    <t>2028 Total</t>
  </si>
  <si>
    <t>Bolsas de Investigação (BI)- estudantes de doutoramento</t>
  </si>
  <si>
    <t>Sem bolsa</t>
  </si>
  <si>
    <t>Seguro Social Voluntário</t>
  </si>
  <si>
    <t>Regulamento das Bolsas</t>
  </si>
  <si>
    <t>Emprego Científico - Contratos de Trabalho</t>
  </si>
  <si>
    <t>Remuneração Bruta</t>
  </si>
  <si>
    <t>Meses</t>
  </si>
  <si>
    <t>RbM</t>
  </si>
  <si>
    <t>Segurança Social</t>
  </si>
  <si>
    <t>Subsidio férias e Natal</t>
  </si>
  <si>
    <t>Subsidio Alimentação</t>
  </si>
  <si>
    <t>Custo total 2024</t>
  </si>
  <si>
    <t>Custo total 2025</t>
  </si>
  <si>
    <t>Custo total 2026</t>
  </si>
  <si>
    <t>Custo total 2027</t>
  </si>
  <si>
    <t>Sem Contrato</t>
  </si>
  <si>
    <t>Taxa de segurança Social</t>
  </si>
  <si>
    <t>Custo total 36 Meses</t>
  </si>
  <si>
    <t>Subsídio refeição (dia)</t>
  </si>
  <si>
    <t>Quadro de Investimentos Total (Orçamento)</t>
  </si>
  <si>
    <t>Os Custos de Pessoal e Equipamento têm que ser preenchidos nas respetivas folhas (Calculo Bolsas e Contratação / Calculo Equipamento). Os calculos obtidos nessas folhas são apresentados automáticamente nas respetivas linhas do orçamento.</t>
  </si>
  <si>
    <t>Classificação das Despesas</t>
  </si>
  <si>
    <t>Recursos Humanos</t>
  </si>
  <si>
    <t>Bolsas</t>
  </si>
  <si>
    <t>CONTRATOS</t>
  </si>
  <si>
    <t>Missões</t>
  </si>
  <si>
    <t>Aquisição de outros bens e serviços</t>
  </si>
  <si>
    <t>Demonstração, promoção e divulgação</t>
  </si>
  <si>
    <t xml:space="preserve">Adaptação de edificios e instalações </t>
  </si>
  <si>
    <t>Registo de patentes</t>
  </si>
  <si>
    <t>Instrumentos e equipamento cientifico</t>
  </si>
  <si>
    <t>Subcontratos</t>
  </si>
  <si>
    <t>Custos Diretos</t>
  </si>
  <si>
    <t>Custos Indiretos (25%)</t>
  </si>
  <si>
    <t>Financiamento</t>
  </si>
  <si>
    <t>Comparticipação</t>
  </si>
  <si>
    <t>Financiamento do projecto:</t>
  </si>
  <si>
    <t>FEDER (40% de comparticipação)</t>
  </si>
  <si>
    <t>Despesas Diretas do projeto</t>
  </si>
  <si>
    <t>OE (60% de Comparticipação)</t>
  </si>
  <si>
    <t>Equipto não amortizado</t>
  </si>
  <si>
    <t>Outras despesas não elegiveís</t>
  </si>
  <si>
    <t>Total das despesas efectivas do projecto:</t>
  </si>
  <si>
    <t>Financiamento do projecto-Total das despesas efectivas do projecto:</t>
  </si>
  <si>
    <t>TAXA DE OVERHEADS</t>
  </si>
  <si>
    <t>Bolsas de investigação pós doutoral</t>
  </si>
  <si>
    <t>Bolsas de Investigação (BI) - estudandes licenciados ou mestres</t>
  </si>
  <si>
    <t>Bolsas de Iniciação à Investigação</t>
  </si>
  <si>
    <t>EXC</t>
  </si>
  <si>
    <t>INTEGRAL</t>
  </si>
  <si>
    <t>FCT</t>
  </si>
  <si>
    <t>Investigador Júnior</t>
  </si>
  <si>
    <t>FE</t>
  </si>
  <si>
    <t>CEAACP</t>
  </si>
  <si>
    <t>Não</t>
  </si>
  <si>
    <t>Investigador Auxiliar</t>
  </si>
  <si>
    <t>FCHS</t>
  </si>
  <si>
    <t>CEAD</t>
  </si>
  <si>
    <t>Investigador Principal</t>
  </si>
  <si>
    <t>CEFAGE</t>
  </si>
  <si>
    <t>Investigador Coordenador</t>
  </si>
  <si>
    <t>ISE</t>
  </si>
  <si>
    <t>CENSE</t>
  </si>
  <si>
    <t>ESGHT</t>
  </si>
  <si>
    <t>CEOT</t>
  </si>
  <si>
    <t>ESEC</t>
  </si>
  <si>
    <t>CIAC</t>
  </si>
  <si>
    <t>ESSaúde</t>
  </si>
  <si>
    <t>CIMA</t>
  </si>
  <si>
    <t>CINTESIS</t>
  </si>
  <si>
    <t>CinTurs</t>
  </si>
  <si>
    <t>CIP</t>
  </si>
  <si>
    <t>CITUR</t>
  </si>
  <si>
    <t>ICARHEB</t>
  </si>
  <si>
    <t>MED</t>
  </si>
  <si>
    <t>Contrato trabalho com o beneficiário</t>
  </si>
  <si>
    <t>Bolseiro de Investigação- a contratar</t>
  </si>
  <si>
    <t>Contrato de Investigador - DL.56-2016</t>
  </si>
  <si>
    <t>Acordo Escrito com a entidade</t>
  </si>
  <si>
    <t>Entidade B</t>
  </si>
  <si>
    <t>Entidade C</t>
  </si>
  <si>
    <t>-</t>
  </si>
  <si>
    <t>Afetação para o Cálculo de Financiamento</t>
  </si>
  <si>
    <t>José Paulo Monteiro</t>
  </si>
  <si>
    <t>Maria Conceição Neves</t>
  </si>
  <si>
    <r>
      <rPr>
        <b/>
        <sz val="10"/>
        <color theme="1"/>
        <rFont val="Calibri"/>
        <family val="2"/>
        <scheme val="minor"/>
      </rPr>
      <t>Informações:</t>
    </r>
    <r>
      <rPr>
        <sz val="10"/>
        <color theme="1"/>
        <rFont val="Calibri"/>
        <family val="2"/>
        <scheme val="minor"/>
      </rPr>
      <t xml:space="preserve">
Formulário elaborado para uso interno de docentes e investigadores da Universidade do Algarve, destinado a auxilar na elaboração de orçamentos de candidaturas a submeter ao concurso MPr-2023-7: SIID – I&amp;D Empresarial - Operações em Copromoção - Outros territórios , promovido pelo Algarve 2030 . As células assinaladas a cor azul correspondem campos de preenchimento obrigatório.
</t>
    </r>
    <r>
      <rPr>
        <b/>
        <sz val="10"/>
        <color rgb="FFFF0000"/>
        <rFont val="Calibri"/>
        <family val="2"/>
        <scheme val="minor"/>
      </rPr>
      <t>O projeto tem que que ser validado pela Divisão de Informação e Estatística (DIE) juntamente com a folha de cálculo deve ser enviado o overview do projeto.</t>
    </r>
  </si>
  <si>
    <t>A8</t>
  </si>
  <si>
    <t>A9</t>
  </si>
  <si>
    <t>A10</t>
  </si>
  <si>
    <t>A11</t>
  </si>
  <si>
    <t>Pessoal Interno UALG</t>
  </si>
  <si>
    <t>VALOR MÁXIMO DA CANDIDATURA</t>
  </si>
  <si>
    <t>Person-Month_FTE</t>
  </si>
  <si>
    <t>Autofinanciamento</t>
  </si>
  <si>
    <t>Investigador Principal/auxiliar Com Habilitação ou agregação</t>
  </si>
  <si>
    <t>Duração</t>
  </si>
  <si>
    <t>Data de Fim</t>
  </si>
  <si>
    <t>Atividade</t>
  </si>
  <si>
    <t/>
  </si>
  <si>
    <t>Aviso</t>
  </si>
  <si>
    <t>Beneficiário principal</t>
  </si>
  <si>
    <t>FCBM</t>
  </si>
  <si>
    <t>ABC-RI</t>
  </si>
  <si>
    <t>NIF:</t>
  </si>
  <si>
    <t>IR na UAlg</t>
  </si>
  <si>
    <t>O PROJETO IRÁ TER BOLSEIROS DE INVESTIGAÇÃO</t>
  </si>
  <si>
    <t>SIM</t>
  </si>
  <si>
    <t>NÃO</t>
  </si>
  <si>
    <t>Bolsas de Investigação</t>
  </si>
  <si>
    <t>(preenchimento Obrigatório)</t>
  </si>
  <si>
    <t>Pessoal a contratar Emprego Científico (DL n.º 57/2016 de 29-08)</t>
  </si>
  <si>
    <t>O PROJETO IRÁ CONTRATAR INVESTIGADORES</t>
  </si>
  <si>
    <r>
      <t xml:space="preserve">Início
</t>
    </r>
    <r>
      <rPr>
        <sz val="9"/>
        <rFont val="Verdana"/>
        <family val="2"/>
      </rPr>
      <t>(dd-mm-aaaaa)</t>
    </r>
  </si>
  <si>
    <r>
      <t xml:space="preserve">Duração
</t>
    </r>
    <r>
      <rPr>
        <sz val="9"/>
        <rFont val="Verdana"/>
        <family val="2"/>
      </rPr>
      <t>(meses)</t>
    </r>
  </si>
  <si>
    <r>
      <t xml:space="preserve">Fim
</t>
    </r>
    <r>
      <rPr>
        <sz val="9"/>
        <rFont val="Verdana"/>
        <family val="2"/>
      </rPr>
      <t>(dd-mm-aaaaa)</t>
    </r>
  </si>
  <si>
    <t>Classificação</t>
  </si>
  <si>
    <t>Investigação Industrial</t>
  </si>
  <si>
    <t>Desenvolvimento Experimental</t>
  </si>
  <si>
    <t>Divulgação e Promoção</t>
  </si>
  <si>
    <t>Gestão Projeto</t>
  </si>
  <si>
    <t>N.º</t>
  </si>
  <si>
    <t>Nova contratação?</t>
  </si>
  <si>
    <t>% afetação ao projeto</t>
  </si>
  <si>
    <t>N.º de FTEs/ ETIs</t>
  </si>
  <si>
    <t>Pessoal técnico do beneficiário da Universidade do Algarve</t>
  </si>
  <si>
    <t>EQUIPA</t>
  </si>
  <si>
    <t>EQUIPA UALG</t>
  </si>
  <si>
    <t>BOLSEIROS DE INVESTIGAÇÃO</t>
  </si>
  <si>
    <t>CONTRATOS DE INVESTIGAÇÃO</t>
  </si>
  <si>
    <t>TAXA DE COMPARTICIPAÇÂO</t>
  </si>
  <si>
    <t>AUTOFINANCIAMENTO</t>
  </si>
  <si>
    <r>
      <rPr>
        <b/>
        <sz val="9"/>
        <color theme="5"/>
        <rFont val="Calibri"/>
        <family val="2"/>
        <scheme val="minor"/>
      </rPr>
      <t>Atenção:</t>
    </r>
    <r>
      <rPr>
        <b/>
        <sz val="9"/>
        <color theme="4" tint="-0.249977111117893"/>
        <rFont val="Calibri"/>
        <family val="2"/>
        <scheme val="minor"/>
      </rPr>
      <t xml:space="preserve">
Nos termos do aviso do concurso o número máximo de FTEs/ ETIs imputável por ano, equivalente a uma pessoa dedicada ao projeto por 12 meses em full time (100%), é 11 (= 11 meses de trabalho). Exemplos: 
a) Um contrato em full time por 24 meses 100% dedicado ao projeto corresponde a uma afetação de 22 FTEs/ ETIs (24 meses x 11 / 12 = 22 FTEs/ ETIs);
b) Um contrato em full time por 15 meses 100% dedicado ao projeto corresponde a uma afetação de 13,75 FTEs/ ETIs (15 meses x 11 / 12 = 13,75 FTEs/ ETIs);
c) Um contrato em full time por 6 meses 100% dedicado ao projeto corresponde a uma afetação de 5,5 FTEs/ ETIs (6 meses x 11 / 12 = 5,5 FTEs/ ETIs).
Perfis/ modalidades de contrato que podem ser incluídos como nova contratação:
a) Investigador Doutorado DL57/2016 (afetação fixa de 27,50 FTEs/ ETIs por contrato; = 30 meses de contrato);
b) Bolsa de Iniciação à Investigação (BII);
c) Bolsa de Investigação - Licenciado (BI_L);
d) Bolsa de Investigação - Mestre (BI_M);
e) Bolsa de Investigação Pós-Doutoral (BIPD).</t>
    </r>
  </si>
  <si>
    <t>(Campo Obrigatório)</t>
  </si>
  <si>
    <t>Viagens e estadas no estrangeiro diretamente imputáveis ao projeto</t>
  </si>
  <si>
    <t>Pessoal Técnico do Beneficiário</t>
  </si>
  <si>
    <t>Matérias Primas  e materiais consumíveis</t>
  </si>
  <si>
    <t>Aquisição de serviços a terceiros</t>
  </si>
  <si>
    <t>ORÇAMENTO</t>
  </si>
  <si>
    <t>Aquisição de Instrumentos e equipamento cientifico e técnico</t>
  </si>
  <si>
    <t>Aquisição de software específico do projeto</t>
  </si>
  <si>
    <t>Despesas com a promoção e divulgação de resultados</t>
  </si>
  <si>
    <t>Aquisição de patentes</t>
  </si>
  <si>
    <t>Despesas com o processo de certificação so sistema de gestão da investigação</t>
  </si>
  <si>
    <t>CUSTOS DIRETOS</t>
  </si>
  <si>
    <t xml:space="preserve">DISTRIBUIÇÂO DA EQUIPA POR ATIVIDADES </t>
  </si>
  <si>
    <t>VALOR POR ATIVIDADE</t>
  </si>
  <si>
    <t xml:space="preserve">    94.0.0 OCS -Custo Unitário</t>
  </si>
  <si>
    <t>FTE/ETI</t>
  </si>
  <si>
    <t>CLASSIFICAÇÃO</t>
  </si>
  <si>
    <t>Identificação da EQUIPA por FTE | ORÇAMENTO</t>
  </si>
  <si>
    <t>(ESTES QUADROS SÃO DE PREENCHIMENTO AUTOMÁTICO)</t>
  </si>
  <si>
    <t>AUTOFINANCIAMENTO (pessoal Interno da UAlg)</t>
  </si>
  <si>
    <t>Overheads para o projeto</t>
  </si>
  <si>
    <t>Identificação da Atividade por FTE | ORÇAMENTO UAlg</t>
  </si>
  <si>
    <t>VALOR A DISTRIBUIR PELOS CUSTOS DIRETOS</t>
  </si>
  <si>
    <t>B1</t>
  </si>
  <si>
    <t>B2</t>
  </si>
  <si>
    <t>B3</t>
  </si>
  <si>
    <t>FOLHA RH_EQUIPA</t>
  </si>
  <si>
    <t>Bolsas+ Contratos (se aplicável)</t>
  </si>
  <si>
    <t>SACCT-Projetos de Investigação Científica e Desenvolvimento Tecnológico (IC&amp;DT)</t>
  </si>
  <si>
    <t>SACCT- Projetos de investigação Científica e Desenvolvim ento Tecnológico</t>
  </si>
  <si>
    <r>
      <rPr>
        <b/>
        <sz val="10"/>
        <color theme="1"/>
        <rFont val="Calibri"/>
        <family val="2"/>
        <scheme val="minor"/>
      </rPr>
      <t>A. Programa Financiador: ALGARVE 2030</t>
    </r>
    <r>
      <rPr>
        <sz val="10"/>
        <color theme="1"/>
        <rFont val="Calibri"/>
        <family val="2"/>
        <scheme val="minor"/>
      </rPr>
      <t xml:space="preserve">
B. Para as ENESII: A taxa máxima de financiamento FEDER das operações elegíveis para o ALGARVE 2030 é de 75%. Todavia a taxa pode ser de 80% nos termos do nº10 do 133º do REITD em caso de superação das metas contratualizadas em todos os indicadores de resultado.
C. Duração máxima dos projetos: </t>
    </r>
    <r>
      <rPr>
        <b/>
        <sz val="10"/>
        <color theme="1"/>
        <rFont val="Calibri"/>
        <family val="2"/>
        <scheme val="minor"/>
      </rPr>
      <t>36 meses</t>
    </r>
    <r>
      <rPr>
        <sz val="10"/>
        <color theme="1"/>
        <rFont val="Calibri"/>
        <family val="2"/>
        <scheme val="minor"/>
      </rPr>
      <t xml:space="preserve">, exceto em casos devidamente justificados. 
D. Custos elegíveis: os custos das operações serão exclusivamente financiados através da metodologia de custos simplificados, na modalidade de custos unitários (custo unitário por FTE/ ETI – full time equivalent/ equivalente a tempo integral). O custo por FTE/ETI é de </t>
    </r>
    <r>
      <rPr>
        <b/>
        <sz val="10"/>
        <color theme="1"/>
        <rFont val="Calibri"/>
        <family val="2"/>
        <scheme val="minor"/>
      </rPr>
      <t>4.320Euros</t>
    </r>
    <r>
      <rPr>
        <sz val="10"/>
        <color theme="1"/>
        <rFont val="Calibri"/>
        <family val="2"/>
        <scheme val="minor"/>
      </rPr>
      <t xml:space="preserve">
E. Orçamento total: o projeto deve integrar um investimento elegível mínimo de 150.000 €. O montante do investimento  é atingido pelos FTEs/ ETIs do projeto.</t>
    </r>
  </si>
  <si>
    <t>Ana Cristina Coelho</t>
  </si>
  <si>
    <t>Cristina Veiga-Pires</t>
  </si>
  <si>
    <t>Jorge Semião</t>
  </si>
  <si>
    <t>Ana Maria Costa</t>
  </si>
  <si>
    <t>Jânio Monteiro</t>
  </si>
  <si>
    <t>Pedro cardoso</t>
  </si>
  <si>
    <t>Roberto Lam</t>
  </si>
  <si>
    <t>Cristiano Cabrita</t>
  </si>
  <si>
    <t>Jaime Martins</t>
  </si>
  <si>
    <t>Paulo Silva</t>
  </si>
  <si>
    <t>João Rodrigues</t>
  </si>
  <si>
    <t>Joana Lessa</t>
  </si>
  <si>
    <t>OAKHIMEDES - Adaptações dos sobreiros face às alterações climáticas e como as mesmas promovem a sustentabilidade do ecossistema</t>
  </si>
  <si>
    <t>Gestão e Coordenação</t>
  </si>
  <si>
    <t>Avaliação da vitalidade das árvores</t>
  </si>
  <si>
    <t>Ambiente</t>
  </si>
  <si>
    <t>Homeostasia e genética</t>
  </si>
  <si>
    <t>Análise e interpretação dos dados</t>
  </si>
  <si>
    <t>Partilha de conhecimento</t>
  </si>
  <si>
    <t>B4</t>
  </si>
  <si>
    <t>José Moreira</t>
  </si>
  <si>
    <t>Joel Guerreiro</t>
  </si>
  <si>
    <t>Equipamentos sujeitos a amortizações</t>
  </si>
  <si>
    <r>
      <rPr>
        <b/>
        <sz val="12"/>
        <color theme="1"/>
        <rFont val="Calibri"/>
        <family val="2"/>
        <scheme val="minor"/>
      </rPr>
      <t xml:space="preserve">Atenção:
</t>
    </r>
    <r>
      <rPr>
        <sz val="12"/>
        <color theme="1"/>
        <rFont val="Calibri"/>
        <family val="2"/>
        <scheme val="minor"/>
      </rPr>
      <t xml:space="preserve">A inclusão de </t>
    </r>
    <r>
      <rPr>
        <b/>
        <sz val="12"/>
        <color theme="1"/>
        <rFont val="Calibri"/>
        <family val="2"/>
        <scheme val="minor"/>
      </rPr>
      <t>equipamentos cuja vida útil não se esgote totalmente dentro do período de execução do projeto e/ ou que não sejam utilizados exclusivamente no âmbito do projeto</t>
    </r>
    <r>
      <rPr>
        <sz val="12"/>
        <color theme="1"/>
        <rFont val="Calibri"/>
        <family val="2"/>
        <scheme val="minor"/>
      </rPr>
      <t xml:space="preserve"> implica que há uma parcela do valor de aquisição que não é elegível para financiamento pelo projeto. Nestes casos, o valor da amortização não elegível será suportado pelos custos indiretos do projeto. Alerta-se que de acordo com o Despacho n.º RT/ de 13 março o projeto terá que ter um mínimo de 20% de overheads, caso esta condição não seja possível ficará sujeito à aprovação da Reitoria.</t>
    </r>
  </si>
  <si>
    <t>Valor da Unidade</t>
  </si>
  <si>
    <t>Nº</t>
  </si>
  <si>
    <t>Classificação das despesas</t>
  </si>
  <si>
    <t>Valor
aquisição</t>
  </si>
  <si>
    <t>Taxa amortiz.
anual</t>
  </si>
  <si>
    <t>Período de afetação</t>
  </si>
  <si>
    <t>Nº meses
elegivel</t>
  </si>
  <si>
    <t>Valor
elegível</t>
  </si>
  <si>
    <t>Taxa amort. acumulada
(Degressiva)</t>
  </si>
  <si>
    <t>Valor não elegível</t>
  </si>
  <si>
    <t>Valor
total</t>
  </si>
  <si>
    <t>Início</t>
  </si>
  <si>
    <t>Fim</t>
  </si>
  <si>
    <t>Despesa elegível por anos</t>
  </si>
  <si>
    <t>Dendómetros (30)</t>
  </si>
  <si>
    <t>Estação meteorológica</t>
  </si>
  <si>
    <t>sensores de solo (2)</t>
  </si>
  <si>
    <t>Vida útil Standard</t>
  </si>
  <si>
    <t>Taxa depreciação</t>
  </si>
  <si>
    <t>Período vida útil</t>
  </si>
  <si>
    <t>Coeficiente</t>
  </si>
  <si>
    <t>Equip.</t>
  </si>
  <si>
    <t>Valor aquisição</t>
  </si>
  <si>
    <t>Tx CIBE</t>
  </si>
  <si>
    <t>Vida útil</t>
  </si>
  <si>
    <t>Nova Tx</t>
  </si>
  <si>
    <t>Descrição</t>
  </si>
  <si>
    <t>Total amort.</t>
  </si>
  <si>
    <t>Computador (3)</t>
  </si>
  <si>
    <t>Quota</t>
  </si>
  <si>
    <t>Arca -80º</t>
  </si>
  <si>
    <t>Amort/ano</t>
  </si>
  <si>
    <t>Amort/mês</t>
  </si>
  <si>
    <t>Fundamental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</si>
</sst>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&quot;€&quot;;[Red]\-#,##0.00&quot;€&quot;"/>
    <numFmt numFmtId="165" formatCode="#,##0.00\ &quot;€&quot;"/>
    <numFmt numFmtId="166" formatCode="0.0%"/>
    <numFmt numFmtId="167" formatCode="0.0"/>
    <numFmt numFmtId="168" formatCode="dd/mm/yyyy;@"/>
    <numFmt numFmtId="169" formatCode="[$-816]mmm/yy;@"/>
    <numFmt numFmtId="170" formatCode="dd\-mm\-yyyy;@"/>
    <numFmt numFmtId="171" formatCode="[$-816]mmmm\ yy;@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 Narrow"/>
      <family val="2"/>
    </font>
    <font>
      <sz val="9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b/>
      <sz val="9"/>
      <color theme="2" tint="-0.749992370372631"/>
      <name val="Calibri"/>
      <family val="2"/>
      <scheme val="minor"/>
    </font>
    <font>
      <sz val="9"/>
      <color theme="2" tint="-0.749992370372631"/>
      <name val="Calibri"/>
      <family val="2"/>
      <scheme val="minor"/>
    </font>
    <font>
      <sz val="9"/>
      <color indexed="81"/>
      <name val="Tahoma"/>
      <family val="2"/>
    </font>
    <font>
      <b/>
      <sz val="8"/>
      <color theme="5" tint="-0.249977111117893"/>
      <name val="Calibri"/>
      <family val="2"/>
      <scheme val="minor"/>
    </font>
    <font>
      <b/>
      <sz val="8"/>
      <color theme="2" tint="-0.749992370372631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8"/>
      <color theme="6" tint="-0.499984740745262"/>
      <name val="Calibri"/>
      <family val="2"/>
      <scheme val="minor"/>
    </font>
    <font>
      <b/>
      <sz val="8"/>
      <color theme="6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u/>
      <sz val="12"/>
      <color theme="4" tint="-0.249977111117893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rgb="FF00B0F0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8"/>
      <name val="Arial"/>
      <family val="2"/>
    </font>
    <font>
      <b/>
      <sz val="9"/>
      <color theme="6" tint="-0.499984740745262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12"/>
      <color rgb="FF00B0F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131313"/>
      <name val="Roboto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9"/>
      <color theme="0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5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3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9471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theme="0" tint="-0.14996795556505021"/>
      </patternFill>
    </fill>
    <fill>
      <patternFill patternType="lightUp">
        <bgColor rgb="FFFFFF00"/>
      </patternFill>
    </fill>
  </fills>
  <borders count="18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ck">
        <color theme="0" tint="-4.9989318521683403E-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thin">
        <color theme="0" tint="-4.9989318521683403E-2"/>
      </bottom>
      <diagonal/>
    </border>
    <border>
      <left/>
      <right style="medium">
        <color theme="0" tint="-4.9989318521683403E-2"/>
      </right>
      <top style="thin">
        <color theme="0" tint="-4.9989318521683403E-2"/>
      </top>
      <bottom style="medium">
        <color theme="0" tint="-4.9989318521683403E-2"/>
      </bottom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medium">
        <color auto="1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theme="3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 style="thick">
        <color theme="3" tint="-0.24994659260841701"/>
      </left>
      <right/>
      <top/>
      <bottom style="thick">
        <color theme="3" tint="-0.24994659260841701"/>
      </bottom>
      <diagonal/>
    </border>
    <border>
      <left style="thick">
        <color theme="3" tint="-0.24994659260841701"/>
      </left>
      <right/>
      <top/>
      <bottom/>
      <diagonal/>
    </border>
    <border>
      <left style="thick">
        <color theme="3" tint="-0.2499465926084170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3" tint="-0.24994659260841701"/>
      </left>
      <right/>
      <top style="thin">
        <color theme="0" tint="-4.9989318521683403E-2"/>
      </top>
      <bottom/>
      <diagonal/>
    </border>
    <border>
      <left style="thick">
        <color theme="3" tint="-0.24994659260841701"/>
      </left>
      <right/>
      <top style="thin">
        <color theme="0"/>
      </top>
      <bottom style="thin">
        <color theme="0"/>
      </bottom>
      <diagonal/>
    </border>
    <border>
      <left style="thick">
        <color theme="3" tint="-0.24994659260841701"/>
      </left>
      <right/>
      <top/>
      <bottom style="thin">
        <color theme="0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/>
      <right style="thick">
        <color theme="3" tint="-0.24994659260841701"/>
      </right>
      <top/>
      <bottom style="thick">
        <color theme="3" tint="-0.24994659260841701"/>
      </bottom>
      <diagonal/>
    </border>
    <border>
      <left/>
      <right style="thick">
        <color theme="3" tint="-0.24994659260841701"/>
      </right>
      <top/>
      <bottom/>
      <diagonal/>
    </border>
    <border>
      <left/>
      <right style="thick">
        <color theme="3" tint="-0.24994659260841701"/>
      </right>
      <top style="thin">
        <color theme="0" tint="-4.9989318521683403E-2"/>
      </top>
      <bottom/>
      <diagonal/>
    </border>
    <border>
      <left/>
      <right style="thick">
        <color theme="3" tint="-0.24994659260841701"/>
      </right>
      <top style="thin">
        <color theme="0"/>
      </top>
      <bottom style="thin">
        <color theme="0"/>
      </bottom>
      <diagonal/>
    </border>
    <border>
      <left/>
      <right style="thick">
        <color theme="3" tint="-0.24994659260841701"/>
      </right>
      <top/>
      <bottom style="thin">
        <color theme="0"/>
      </bottom>
      <diagonal/>
    </border>
    <border>
      <left style="thick">
        <color theme="3" tint="-0.24994659260841701"/>
      </left>
      <right/>
      <top style="hair">
        <color theme="3" tint="-0.24994659260841701"/>
      </top>
      <bottom style="hair">
        <color theme="3" tint="-0.24994659260841701"/>
      </bottom>
      <diagonal/>
    </border>
    <border>
      <left/>
      <right style="thick">
        <color theme="3" tint="-0.24994659260841701"/>
      </right>
      <top style="hair">
        <color theme="3" tint="-0.24994659260841701"/>
      </top>
      <bottom style="hair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thick">
        <color theme="3" tint="-0.24994659260841701"/>
      </top>
      <bottom/>
      <diagonal/>
    </border>
    <border>
      <left style="medium">
        <color theme="3" tint="-0.24994659260841701"/>
      </left>
      <right style="medium">
        <color theme="3" tint="-0.24994659260841701"/>
      </right>
      <top/>
      <bottom style="thick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/>
      <bottom/>
      <diagonal/>
    </border>
    <border>
      <left style="medium">
        <color theme="3" tint="-0.24994659260841701"/>
      </left>
      <right style="medium">
        <color theme="3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3" tint="-0.24994659260841701"/>
      </left>
      <right style="medium">
        <color theme="3" tint="-0.24994659260841701"/>
      </right>
      <top style="thin">
        <color theme="0" tint="-4.9989318521683403E-2"/>
      </top>
      <bottom/>
      <diagonal/>
    </border>
    <border>
      <left style="medium">
        <color theme="3" tint="-0.24994659260841701"/>
      </left>
      <right style="medium">
        <color theme="3" tint="-0.24994659260841701"/>
      </right>
      <top style="hair">
        <color theme="3" tint="-0.24994659260841701"/>
      </top>
      <bottom style="hair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/>
      <bottom style="thin">
        <color theme="0"/>
      </bottom>
      <diagonal/>
    </border>
    <border>
      <left style="medium">
        <color theme="3" tint="-0.24994659260841701"/>
      </left>
      <right style="medium">
        <color theme="3" tint="-0.24994659260841701"/>
      </right>
      <top style="thin">
        <color theme="0"/>
      </top>
      <bottom style="thin">
        <color theme="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 style="thick">
        <color theme="3" tint="-0.24994659260841701"/>
      </left>
      <right/>
      <top style="thin">
        <color theme="0"/>
      </top>
      <bottom/>
      <diagonal/>
    </border>
    <border>
      <left style="medium">
        <color theme="3" tint="-0.24994659260841701"/>
      </left>
      <right style="medium">
        <color theme="3" tint="-0.24994659260841701"/>
      </right>
      <top style="thin">
        <color theme="0"/>
      </top>
      <bottom/>
      <diagonal/>
    </border>
    <border>
      <left/>
      <right style="thick">
        <color theme="3" tint="-0.24994659260841701"/>
      </right>
      <top style="thin">
        <color theme="0"/>
      </top>
      <bottom/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6" tint="0.59996337778862885"/>
      </bottom>
      <diagonal/>
    </border>
    <border>
      <left style="medium">
        <color theme="0" tint="-0.34998626667073579"/>
      </left>
      <right style="thin">
        <color theme="0"/>
      </right>
      <top style="medium">
        <color theme="0" tint="-0.34998626667073579"/>
      </top>
      <bottom/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 style="thin">
        <color theme="6" tint="0.59996337778862885"/>
      </bottom>
      <diagonal/>
    </border>
    <border>
      <left style="medium">
        <color theme="0" tint="-0.34998626667073579"/>
      </left>
      <right style="thin">
        <color theme="0"/>
      </right>
      <top/>
      <bottom style="thin">
        <color theme="6" tint="0.59996337778862885"/>
      </bottom>
      <diagonal/>
    </border>
    <border>
      <left style="thin">
        <color theme="0"/>
      </left>
      <right style="medium">
        <color theme="0" tint="-0.34998626667073579"/>
      </right>
      <top style="thin">
        <color theme="6" tint="0.59996337778862885"/>
      </top>
      <bottom style="thin">
        <color theme="6" tint="0.59996337778862885"/>
      </bottom>
      <diagonal/>
    </border>
    <border>
      <left style="medium">
        <color theme="0" tint="-0.34998626667073579"/>
      </left>
      <right style="thin">
        <color theme="0"/>
      </right>
      <top style="thin">
        <color theme="6" tint="0.59996337778862885"/>
      </top>
      <bottom style="medium">
        <color theme="0" tint="-0.34998626667073579"/>
      </bottom>
      <diagonal/>
    </border>
    <border>
      <left style="thin">
        <color theme="0"/>
      </left>
      <right style="medium">
        <color theme="0" tint="-0.34998626667073579"/>
      </right>
      <top style="thin">
        <color theme="6" tint="0.59996337778862885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/>
      <bottom style="thin">
        <color theme="6" tint="0.59996337778862885"/>
      </bottom>
      <diagonal/>
    </border>
    <border>
      <left style="thin">
        <color theme="0"/>
      </left>
      <right style="thin">
        <color theme="0"/>
      </right>
      <top style="thin">
        <color theme="6" tint="0.59996337778862885"/>
      </top>
      <bottom style="medium">
        <color theme="0" tint="-0.34998626667073579"/>
      </bottom>
      <diagonal/>
    </border>
    <border>
      <left style="thin">
        <color theme="0"/>
      </left>
      <right style="medium">
        <color theme="0" tint="-0.34998626667073579"/>
      </right>
      <top style="thin">
        <color theme="0"/>
      </top>
      <bottom style="thin">
        <color theme="6" tint="0.59996337778862885"/>
      </bottom>
      <diagonal/>
    </border>
    <border>
      <left style="medium">
        <color theme="0" tint="-0.34998626667073579"/>
      </left>
      <right style="thin">
        <color theme="0"/>
      </right>
      <top style="thin">
        <color theme="6" tint="0.59996337778862885"/>
      </top>
      <bottom/>
      <diagonal/>
    </border>
    <border>
      <left style="thin">
        <color theme="0"/>
      </left>
      <right style="medium">
        <color theme="0" tint="-0.34998626667073579"/>
      </right>
      <top style="thin">
        <color theme="6" tint="0.59996337778862885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6" tint="0.59996337778862885"/>
      </top>
      <bottom/>
      <diagonal/>
    </border>
    <border>
      <left style="medium">
        <color theme="0" tint="-0.34998626667073579"/>
      </left>
      <right style="thin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/>
      </left>
      <right style="medium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/>
      </left>
      <right style="thin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/>
      <bottom/>
      <diagonal/>
    </border>
    <border>
      <left style="medium">
        <color indexed="64"/>
      </left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auto="1"/>
      </top>
      <bottom/>
      <diagonal/>
    </border>
    <border>
      <left style="medium">
        <color auto="1"/>
      </left>
      <right/>
      <top style="hair">
        <color theme="3" tint="-0.24994659260841701"/>
      </top>
      <bottom style="hair">
        <color theme="3" tint="-0.24994659260841701"/>
      </bottom>
      <diagonal/>
    </border>
    <border>
      <left/>
      <right style="medium">
        <color auto="1"/>
      </right>
      <top style="hair">
        <color theme="3" tint="-0.24994659260841701"/>
      </top>
      <bottom style="hair">
        <color theme="3" tint="-0.24994659260841701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theme="3" tint="-0.24994659260841701"/>
      </left>
      <right style="medium">
        <color theme="3" tint="-0.2499465926084170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hair">
        <color auto="1"/>
      </top>
      <bottom style="hair">
        <color theme="3" tint="-0.24994659260841701"/>
      </bottom>
      <diagonal/>
    </border>
    <border>
      <left/>
      <right style="medium">
        <color auto="1"/>
      </right>
      <top style="hair">
        <color auto="1"/>
      </top>
      <bottom style="hair">
        <color theme="3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6">
    <xf numFmtId="0" fontId="0" fillId="0" borderId="0"/>
    <xf numFmtId="0" fontId="12" fillId="0" borderId="0"/>
    <xf numFmtId="44" fontId="24" fillId="0" borderId="0" applyFont="0" applyFill="0" applyBorder="0" applyAlignment="0" applyProtection="0"/>
    <xf numFmtId="0" fontId="26" fillId="0" borderId="0"/>
    <xf numFmtId="44" fontId="2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</cellStyleXfs>
  <cellXfs count="796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164" fontId="7" fillId="0" borderId="0" xfId="0" applyNumberFormat="1" applyFont="1"/>
    <xf numFmtId="165" fontId="5" fillId="0" borderId="0" xfId="0" applyNumberFormat="1" applyFont="1"/>
    <xf numFmtId="10" fontId="14" fillId="0" borderId="0" xfId="0" applyNumberFormat="1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4" fontId="10" fillId="0" borderId="0" xfId="0" applyNumberFormat="1" applyFont="1" applyAlignment="1" applyProtection="1">
      <alignment vertical="center"/>
      <protection locked="0"/>
    </xf>
    <xf numFmtId="4" fontId="14" fillId="0" borderId="0" xfId="0" applyNumberFormat="1" applyFont="1" applyAlignment="1" applyProtection="1">
      <alignment vertical="center"/>
      <protection locked="0"/>
    </xf>
    <xf numFmtId="4" fontId="15" fillId="0" borderId="0" xfId="0" applyNumberFormat="1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4" fontId="13" fillId="0" borderId="0" xfId="0" applyNumberFormat="1" applyFont="1" applyAlignment="1" applyProtection="1">
      <alignment vertical="center"/>
      <protection locked="0"/>
    </xf>
    <xf numFmtId="4" fontId="11" fillId="0" borderId="0" xfId="0" applyNumberFormat="1" applyFont="1" applyAlignment="1" applyProtection="1">
      <alignment vertical="center"/>
      <protection locked="0"/>
    </xf>
    <xf numFmtId="9" fontId="14" fillId="0" borderId="0" xfId="0" applyNumberFormat="1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vertical="center"/>
      <protection locked="0"/>
    </xf>
    <xf numFmtId="4" fontId="18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27" fillId="0" borderId="0" xfId="0" quotePrefix="1" applyFont="1" applyAlignment="1" applyProtection="1">
      <alignment vertical="top" wrapText="1"/>
      <protection locked="0"/>
    </xf>
    <xf numFmtId="0" fontId="27" fillId="0" borderId="0" xfId="0" applyFont="1" applyAlignment="1" applyProtection="1">
      <alignment vertical="top" wrapText="1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vertical="center"/>
    </xf>
    <xf numFmtId="0" fontId="4" fillId="0" borderId="0" xfId="3" applyFont="1" applyAlignment="1" applyProtection="1">
      <alignment vertical="center"/>
      <protection locked="0"/>
    </xf>
    <xf numFmtId="4" fontId="18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24" fillId="0" borderId="0" xfId="0" applyFont="1" applyAlignment="1">
      <alignment vertical="center" wrapText="1"/>
    </xf>
    <xf numFmtId="4" fontId="24" fillId="0" borderId="0" xfId="0" applyNumberFormat="1" applyFont="1" applyAlignment="1">
      <alignment vertical="center" wrapText="1"/>
    </xf>
    <xf numFmtId="0" fontId="33" fillId="0" borderId="0" xfId="0" applyFont="1" applyAlignment="1" applyProtection="1">
      <alignment vertical="center"/>
      <protection locked="0"/>
    </xf>
    <xf numFmtId="44" fontId="5" fillId="0" borderId="0" xfId="0" applyNumberFormat="1" applyFont="1"/>
    <xf numFmtId="0" fontId="7" fillId="10" borderId="4" xfId="0" applyFont="1" applyFill="1" applyBorder="1" applyAlignment="1">
      <alignment vertical="center"/>
    </xf>
    <xf numFmtId="4" fontId="11" fillId="10" borderId="0" xfId="0" applyNumberFormat="1" applyFont="1" applyFill="1" applyAlignment="1">
      <alignment horizontal="right" vertical="center"/>
    </xf>
    <xf numFmtId="0" fontId="7" fillId="10" borderId="0" xfId="0" applyFont="1" applyFill="1" applyAlignment="1">
      <alignment horizontal="right" vertical="center"/>
    </xf>
    <xf numFmtId="4" fontId="11" fillId="9" borderId="0" xfId="0" applyNumberFormat="1" applyFont="1" applyFill="1" applyAlignment="1">
      <alignment vertical="center"/>
    </xf>
    <xf numFmtId="0" fontId="11" fillId="9" borderId="0" xfId="0" applyFont="1" applyFill="1" applyAlignment="1">
      <alignment horizontal="right" vertical="center"/>
    </xf>
    <xf numFmtId="10" fontId="11" fillId="9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32" fillId="8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165" fontId="42" fillId="3" borderId="0" xfId="0" applyNumberFormat="1" applyFont="1" applyFill="1" applyAlignment="1" applyProtection="1">
      <alignment vertical="center"/>
      <protection locked="0"/>
    </xf>
    <xf numFmtId="9" fontId="7" fillId="10" borderId="5" xfId="0" applyNumberFormat="1" applyFont="1" applyFill="1" applyBorder="1" applyAlignment="1" applyProtection="1">
      <alignment horizontal="right" vertical="center"/>
      <protection locked="0"/>
    </xf>
    <xf numFmtId="0" fontId="7" fillId="10" borderId="0" xfId="0" applyFont="1" applyFill="1" applyAlignment="1" applyProtection="1">
      <alignment vertical="center"/>
      <protection locked="0"/>
    </xf>
    <xf numFmtId="0" fontId="7" fillId="9" borderId="0" xfId="0" applyFont="1" applyFill="1" applyAlignment="1" applyProtection="1">
      <alignment vertical="center"/>
      <protection locked="0"/>
    </xf>
    <xf numFmtId="0" fontId="11" fillId="9" borderId="0" xfId="0" applyFont="1" applyFill="1" applyAlignment="1" applyProtection="1">
      <alignment vertical="center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4" fontId="24" fillId="0" borderId="0" xfId="0" applyNumberFormat="1" applyFont="1" applyAlignment="1" applyProtection="1">
      <alignment vertical="center" wrapText="1"/>
      <protection locked="0"/>
    </xf>
    <xf numFmtId="0" fontId="39" fillId="0" borderId="0" xfId="6" applyFont="1" applyProtection="1">
      <protection locked="0" hidden="1"/>
    </xf>
    <xf numFmtId="0" fontId="39" fillId="0" borderId="0" xfId="6" applyFont="1" applyAlignment="1" applyProtection="1">
      <alignment horizontal="left"/>
      <protection locked="0" hidden="1"/>
    </xf>
    <xf numFmtId="0" fontId="39" fillId="0" borderId="0" xfId="6" applyFont="1" applyAlignment="1" applyProtection="1">
      <alignment horizontal="center"/>
      <protection locked="0" hidden="1"/>
    </xf>
    <xf numFmtId="0" fontId="39" fillId="0" borderId="15" xfId="6" applyFont="1" applyBorder="1" applyAlignment="1" applyProtection="1">
      <alignment horizontal="left"/>
      <protection locked="0" hidden="1"/>
    </xf>
    <xf numFmtId="0" fontId="39" fillId="0" borderId="16" xfId="6" applyFont="1" applyBorder="1" applyAlignment="1" applyProtection="1">
      <alignment horizontal="left"/>
      <protection locked="0" hidden="1"/>
    </xf>
    <xf numFmtId="0" fontId="39" fillId="0" borderId="0" xfId="6" applyFont="1" applyProtection="1">
      <protection hidden="1"/>
    </xf>
    <xf numFmtId="0" fontId="39" fillId="9" borderId="14" xfId="6" applyFont="1" applyFill="1" applyBorder="1" applyProtection="1">
      <protection hidden="1"/>
    </xf>
    <xf numFmtId="0" fontId="5" fillId="9" borderId="14" xfId="6" applyFont="1" applyFill="1" applyBorder="1" applyAlignment="1" applyProtection="1">
      <alignment horizontal="center" vertical="center" wrapText="1"/>
      <protection hidden="1"/>
    </xf>
    <xf numFmtId="8" fontId="7" fillId="0" borderId="0" xfId="0" applyNumberFormat="1" applyFont="1"/>
    <xf numFmtId="0" fontId="45" fillId="0" borderId="0" xfId="0" applyFont="1" applyAlignment="1" applyProtection="1">
      <alignment vertical="center"/>
      <protection locked="0"/>
    </xf>
    <xf numFmtId="4" fontId="7" fillId="0" borderId="49" xfId="0" applyNumberFormat="1" applyFont="1" applyBorder="1" applyAlignment="1">
      <alignment horizontal="right" vertical="center"/>
    </xf>
    <xf numFmtId="0" fontId="11" fillId="9" borderId="52" xfId="0" applyFont="1" applyFill="1" applyBorder="1" applyAlignment="1">
      <alignment vertical="center"/>
    </xf>
    <xf numFmtId="0" fontId="7" fillId="0" borderId="53" xfId="0" applyFont="1" applyBorder="1" applyAlignment="1">
      <alignment vertical="center"/>
    </xf>
    <xf numFmtId="4" fontId="11" fillId="8" borderId="59" xfId="0" applyNumberFormat="1" applyFont="1" applyFill="1" applyBorder="1" applyAlignment="1">
      <alignment horizontal="right" vertical="center"/>
    </xf>
    <xf numFmtId="0" fontId="46" fillId="0" borderId="0" xfId="0" applyFont="1" applyAlignment="1" applyProtection="1">
      <alignment vertical="top" wrapText="1"/>
      <protection locked="0"/>
    </xf>
    <xf numFmtId="165" fontId="46" fillId="0" borderId="0" xfId="0" applyNumberFormat="1" applyFont="1" applyAlignment="1" applyProtection="1">
      <alignment vertical="top" wrapText="1"/>
      <protection locked="0"/>
    </xf>
    <xf numFmtId="0" fontId="7" fillId="0" borderId="54" xfId="0" applyFont="1" applyBorder="1" applyAlignment="1">
      <alignment vertical="center"/>
    </xf>
    <xf numFmtId="4" fontId="7" fillId="0" borderId="60" xfId="0" applyNumberFormat="1" applyFont="1" applyBorder="1" applyAlignment="1">
      <alignment horizontal="right" vertical="center"/>
    </xf>
    <xf numFmtId="0" fontId="7" fillId="10" borderId="56" xfId="0" applyFont="1" applyFill="1" applyBorder="1" applyAlignment="1">
      <alignment vertical="center"/>
    </xf>
    <xf numFmtId="4" fontId="11" fillId="10" borderId="62" xfId="0" applyNumberFormat="1" applyFont="1" applyFill="1" applyBorder="1" applyAlignment="1">
      <alignment horizontal="right" vertical="center"/>
    </xf>
    <xf numFmtId="0" fontId="11" fillId="9" borderId="63" xfId="0" applyFont="1" applyFill="1" applyBorder="1" applyAlignment="1">
      <alignment vertical="center"/>
    </xf>
    <xf numFmtId="4" fontId="11" fillId="8" borderId="64" xfId="0" applyNumberFormat="1" applyFont="1" applyFill="1" applyBorder="1" applyAlignment="1">
      <alignment vertical="center"/>
    </xf>
    <xf numFmtId="0" fontId="11" fillId="9" borderId="63" xfId="0" applyFont="1" applyFill="1" applyBorder="1" applyAlignment="1">
      <alignment vertical="center" wrapText="1"/>
    </xf>
    <xf numFmtId="4" fontId="11" fillId="8" borderId="67" xfId="0" applyNumberFormat="1" applyFont="1" applyFill="1" applyBorder="1" applyAlignment="1" applyProtection="1">
      <alignment horizontal="right" vertical="center"/>
      <protection locked="0"/>
    </xf>
    <xf numFmtId="4" fontId="7" fillId="0" borderId="68" xfId="0" applyNumberFormat="1" applyFont="1" applyBorder="1" applyAlignment="1" applyProtection="1">
      <alignment horizontal="right" vertical="center"/>
      <protection locked="0"/>
    </xf>
    <xf numFmtId="4" fontId="7" fillId="0" borderId="69" xfId="0" applyNumberFormat="1" applyFont="1" applyBorder="1" applyAlignment="1" applyProtection="1">
      <alignment horizontal="right" vertical="center"/>
      <protection locked="0"/>
    </xf>
    <xf numFmtId="4" fontId="7" fillId="8" borderId="70" xfId="0" applyNumberFormat="1" applyFont="1" applyFill="1" applyBorder="1" applyAlignment="1" applyProtection="1">
      <alignment vertical="center"/>
      <protection locked="0"/>
    </xf>
    <xf numFmtId="4" fontId="11" fillId="10" borderId="71" xfId="0" applyNumberFormat="1" applyFont="1" applyFill="1" applyBorder="1" applyAlignment="1" applyProtection="1">
      <alignment horizontal="right" vertical="center"/>
      <protection locked="0"/>
    </xf>
    <xf numFmtId="0" fontId="7" fillId="8" borderId="0" xfId="0" applyFont="1" applyFill="1" applyAlignment="1">
      <alignment vertical="center"/>
    </xf>
    <xf numFmtId="4" fontId="10" fillId="8" borderId="0" xfId="0" applyNumberFormat="1" applyFont="1" applyFill="1" applyAlignment="1">
      <alignment vertical="center"/>
    </xf>
    <xf numFmtId="0" fontId="31" fillId="8" borderId="0" xfId="0" applyFont="1" applyFill="1" applyAlignment="1">
      <alignment vertical="center"/>
    </xf>
    <xf numFmtId="0" fontId="37" fillId="0" borderId="0" xfId="0" applyFont="1"/>
    <xf numFmtId="0" fontId="48" fillId="0" borderId="0" xfId="0" applyFont="1"/>
    <xf numFmtId="0" fontId="37" fillId="13" borderId="0" xfId="0" applyFont="1" applyFill="1" applyAlignment="1">
      <alignment horizontal="center"/>
    </xf>
    <xf numFmtId="0" fontId="37" fillId="13" borderId="0" xfId="0" applyFont="1" applyFill="1"/>
    <xf numFmtId="0" fontId="5" fillId="10" borderId="0" xfId="0" applyFont="1" applyFill="1"/>
    <xf numFmtId="2" fontId="5" fillId="0" borderId="0" xfId="0" applyNumberFormat="1" applyFont="1"/>
    <xf numFmtId="2" fontId="5" fillId="10" borderId="0" xfId="0" applyNumberFormat="1" applyFont="1" applyFill="1"/>
    <xf numFmtId="2" fontId="37" fillId="10" borderId="0" xfId="0" applyNumberFormat="1" applyFont="1" applyFill="1"/>
    <xf numFmtId="0" fontId="5" fillId="0" borderId="73" xfId="0" applyFont="1" applyBorder="1"/>
    <xf numFmtId="2" fontId="5" fillId="15" borderId="0" xfId="0" applyNumberFormat="1" applyFont="1" applyFill="1"/>
    <xf numFmtId="2" fontId="44" fillId="14" borderId="0" xfId="0" applyNumberFormat="1" applyFont="1" applyFill="1"/>
    <xf numFmtId="0" fontId="5" fillId="0" borderId="0" xfId="0" applyFont="1" applyAlignment="1">
      <alignment horizontal="right"/>
    </xf>
    <xf numFmtId="165" fontId="37" fillId="0" borderId="0" xfId="0" applyNumberFormat="1" applyFont="1"/>
    <xf numFmtId="0" fontId="37" fillId="10" borderId="0" xfId="0" applyFont="1" applyFill="1"/>
    <xf numFmtId="2" fontId="5" fillId="15" borderId="73" xfId="0" applyNumberFormat="1" applyFont="1" applyFill="1" applyBorder="1"/>
    <xf numFmtId="2" fontId="44" fillId="14" borderId="73" xfId="0" applyNumberFormat="1" applyFont="1" applyFill="1" applyBorder="1"/>
    <xf numFmtId="4" fontId="4" fillId="0" borderId="0" xfId="3" applyNumberFormat="1" applyFont="1" applyAlignment="1" applyProtection="1">
      <alignment vertical="center"/>
      <protection locked="0"/>
    </xf>
    <xf numFmtId="3" fontId="4" fillId="0" borderId="0" xfId="3" applyNumberFormat="1" applyFont="1" applyAlignment="1" applyProtection="1">
      <alignment vertical="center"/>
      <protection locked="0"/>
    </xf>
    <xf numFmtId="10" fontId="39" fillId="0" borderId="0" xfId="6" applyNumberFormat="1" applyFont="1" applyProtection="1">
      <protection locked="0" hidden="1"/>
    </xf>
    <xf numFmtId="165" fontId="37" fillId="10" borderId="0" xfId="0" applyNumberFormat="1" applyFont="1" applyFill="1"/>
    <xf numFmtId="0" fontId="50" fillId="0" borderId="0" xfId="0" applyFont="1" applyAlignment="1" applyProtection="1">
      <alignment horizontal="right" vertical="center"/>
      <protection locked="0"/>
    </xf>
    <xf numFmtId="10" fontId="42" fillId="0" borderId="0" xfId="0" applyNumberFormat="1" applyFont="1" applyAlignment="1" applyProtection="1">
      <alignment vertical="center"/>
      <protection locked="0"/>
    </xf>
    <xf numFmtId="2" fontId="5" fillId="16" borderId="0" xfId="0" applyNumberFormat="1" applyFont="1" applyFill="1"/>
    <xf numFmtId="0" fontId="37" fillId="13" borderId="0" xfId="0" applyFont="1" applyFill="1" applyAlignment="1">
      <alignment wrapText="1"/>
    </xf>
    <xf numFmtId="0" fontId="11" fillId="10" borderId="84" xfId="0" applyFont="1" applyFill="1" applyBorder="1" applyAlignment="1">
      <alignment vertical="center"/>
    </xf>
    <xf numFmtId="4" fontId="11" fillId="10" borderId="85" xfId="0" applyNumberFormat="1" applyFont="1" applyFill="1" applyBorder="1" applyAlignment="1" applyProtection="1">
      <alignment vertical="center"/>
      <protection locked="0"/>
    </xf>
    <xf numFmtId="4" fontId="11" fillId="10" borderId="86" xfId="0" applyNumberFormat="1" applyFont="1" applyFill="1" applyBorder="1" applyAlignment="1">
      <alignment vertical="center"/>
    </xf>
    <xf numFmtId="0" fontId="11" fillId="10" borderId="87" xfId="0" applyFont="1" applyFill="1" applyBorder="1" applyAlignment="1">
      <alignment vertical="center"/>
    </xf>
    <xf numFmtId="4" fontId="11" fillId="10" borderId="88" xfId="0" applyNumberFormat="1" applyFont="1" applyFill="1" applyBorder="1" applyAlignment="1" applyProtection="1">
      <alignment vertical="center"/>
      <protection locked="0"/>
    </xf>
    <xf numFmtId="4" fontId="11" fillId="10" borderId="89" xfId="0" applyNumberFormat="1" applyFont="1" applyFill="1" applyBorder="1" applyAlignment="1">
      <alignment vertical="center"/>
    </xf>
    <xf numFmtId="0" fontId="7" fillId="5" borderId="90" xfId="0" applyFont="1" applyFill="1" applyBorder="1" applyAlignment="1">
      <alignment vertical="center"/>
    </xf>
    <xf numFmtId="0" fontId="7" fillId="5" borderId="90" xfId="0" applyFont="1" applyFill="1" applyBorder="1" applyAlignment="1" applyProtection="1">
      <alignment vertical="center"/>
      <protection locked="0"/>
    </xf>
    <xf numFmtId="0" fontId="11" fillId="5" borderId="55" xfId="0" applyFont="1" applyFill="1" applyBorder="1" applyAlignment="1">
      <alignment vertical="center"/>
    </xf>
    <xf numFmtId="4" fontId="11" fillId="5" borderId="72" xfId="0" applyNumberFormat="1" applyFont="1" applyFill="1" applyBorder="1" applyAlignment="1" applyProtection="1">
      <alignment horizontal="right" vertical="center"/>
      <protection locked="0"/>
    </xf>
    <xf numFmtId="4" fontId="11" fillId="5" borderId="61" xfId="0" applyNumberFormat="1" applyFont="1" applyFill="1" applyBorder="1" applyAlignment="1">
      <alignment horizontal="right" vertical="center"/>
    </xf>
    <xf numFmtId="0" fontId="11" fillId="5" borderId="51" xfId="0" applyFont="1" applyFill="1" applyBorder="1" applyAlignment="1">
      <alignment vertical="center"/>
    </xf>
    <xf numFmtId="4" fontId="11" fillId="5" borderId="66" xfId="0" applyNumberFormat="1" applyFont="1" applyFill="1" applyBorder="1" applyAlignment="1" applyProtection="1">
      <alignment vertical="center"/>
      <protection locked="0"/>
    </xf>
    <xf numFmtId="4" fontId="11" fillId="5" borderId="58" xfId="0" applyNumberFormat="1" applyFont="1" applyFill="1" applyBorder="1" applyAlignment="1">
      <alignment vertical="center"/>
    </xf>
    <xf numFmtId="14" fontId="39" fillId="10" borderId="76" xfId="6" applyNumberFormat="1" applyFont="1" applyFill="1" applyBorder="1" applyAlignment="1" applyProtection="1">
      <alignment horizontal="center"/>
      <protection hidden="1"/>
    </xf>
    <xf numFmtId="0" fontId="5" fillId="9" borderId="77" xfId="6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>
      <alignment vertical="center"/>
    </xf>
    <xf numFmtId="0" fontId="40" fillId="5" borderId="0" xfId="6" applyFont="1" applyFill="1" applyAlignment="1" applyProtection="1">
      <alignment horizontal="center" vertical="center" wrapText="1"/>
      <protection hidden="1"/>
    </xf>
    <xf numFmtId="0" fontId="39" fillId="10" borderId="14" xfId="6" applyFont="1" applyFill="1" applyBorder="1" applyAlignment="1" applyProtection="1">
      <alignment horizontal="left"/>
      <protection locked="0"/>
    </xf>
    <xf numFmtId="0" fontId="39" fillId="0" borderId="14" xfId="6" applyFont="1" applyBorder="1" applyAlignment="1" applyProtection="1">
      <protection locked="0" hidden="1"/>
    </xf>
    <xf numFmtId="0" fontId="57" fillId="0" borderId="0" xfId="6" applyFont="1" applyProtection="1">
      <protection locked="0" hidden="1"/>
    </xf>
    <xf numFmtId="0" fontId="39" fillId="0" borderId="0" xfId="6" applyFont="1" applyFill="1" applyBorder="1" applyAlignment="1" applyProtection="1">
      <alignment horizontal="left"/>
      <protection locked="0" hidden="1"/>
    </xf>
    <xf numFmtId="0" fontId="39" fillId="0" borderId="0" xfId="6" applyFont="1" applyFill="1" applyBorder="1" applyAlignment="1" applyProtection="1">
      <alignment horizontal="center"/>
      <protection locked="0" hidden="1"/>
    </xf>
    <xf numFmtId="0" fontId="60" fillId="12" borderId="17" xfId="6" applyFont="1" applyFill="1" applyBorder="1" applyAlignment="1" applyProtection="1">
      <alignment horizontal="center" vertical="center"/>
      <protection hidden="1"/>
    </xf>
    <xf numFmtId="14" fontId="39" fillId="10" borderId="130" xfId="6" applyNumberFormat="1" applyFont="1" applyFill="1" applyBorder="1" applyAlignment="1" applyProtection="1">
      <alignment horizontal="center"/>
      <protection hidden="1"/>
    </xf>
    <xf numFmtId="168" fontId="39" fillId="0" borderId="0" xfId="6" applyNumberFormat="1" applyFont="1" applyProtection="1">
      <protection locked="0" hidden="1"/>
    </xf>
    <xf numFmtId="3" fontId="39" fillId="0" borderId="0" xfId="6" applyNumberFormat="1" applyFont="1" applyProtection="1">
      <protection locked="0" hidden="1"/>
    </xf>
    <xf numFmtId="14" fontId="39" fillId="0" borderId="0" xfId="6" applyNumberFormat="1" applyFont="1" applyProtection="1">
      <protection locked="0" hidden="1"/>
    </xf>
    <xf numFmtId="0" fontId="4" fillId="0" borderId="75" xfId="0" applyFont="1" applyBorder="1" applyAlignment="1" applyProtection="1">
      <alignment vertical="center"/>
      <protection locked="0"/>
    </xf>
    <xf numFmtId="0" fontId="4" fillId="0" borderId="83" xfId="0" applyFont="1" applyBorder="1" applyAlignment="1" applyProtection="1">
      <alignment vertical="center"/>
      <protection locked="0"/>
    </xf>
    <xf numFmtId="3" fontId="4" fillId="0" borderId="83" xfId="0" applyNumberFormat="1" applyFont="1" applyBorder="1" applyAlignment="1" applyProtection="1">
      <alignment vertical="center"/>
      <protection locked="0"/>
    </xf>
    <xf numFmtId="9" fontId="4" fillId="0" borderId="83" xfId="0" applyNumberFormat="1" applyFont="1" applyBorder="1" applyAlignment="1" applyProtection="1">
      <alignment horizontal="center" vertical="center"/>
      <protection locked="0"/>
    </xf>
    <xf numFmtId="9" fontId="4" fillId="0" borderId="75" xfId="0" applyNumberFormat="1" applyFont="1" applyBorder="1" applyAlignment="1" applyProtection="1">
      <alignment horizontal="center" vertical="center"/>
      <protection locked="0"/>
    </xf>
    <xf numFmtId="0" fontId="4" fillId="0" borderId="141" xfId="0" applyFont="1" applyBorder="1" applyAlignment="1" applyProtection="1">
      <alignment vertical="center"/>
      <protection locked="0"/>
    </xf>
    <xf numFmtId="0" fontId="4" fillId="0" borderId="141" xfId="0" applyFont="1" applyBorder="1" applyAlignment="1" applyProtection="1">
      <alignment horizontal="center" vertical="center"/>
      <protection locked="0"/>
    </xf>
    <xf numFmtId="0" fontId="4" fillId="17" borderId="75" xfId="0" applyFont="1" applyFill="1" applyBorder="1" applyAlignment="1" applyProtection="1">
      <alignment vertical="center"/>
      <protection locked="0"/>
    </xf>
    <xf numFmtId="0" fontId="4" fillId="17" borderId="75" xfId="0" applyFont="1" applyFill="1" applyBorder="1" applyAlignment="1" applyProtection="1">
      <alignment horizontal="center" vertical="center"/>
      <protection locked="0"/>
    </xf>
    <xf numFmtId="0" fontId="65" fillId="17" borderId="75" xfId="0" applyFont="1" applyFill="1" applyBorder="1" applyAlignment="1" applyProtection="1">
      <alignment vertical="center"/>
      <protection locked="0"/>
    </xf>
    <xf numFmtId="0" fontId="39" fillId="0" borderId="0" xfId="6" applyFont="1" applyFill="1" applyBorder="1" applyProtection="1">
      <protection locked="0" hidden="1"/>
    </xf>
    <xf numFmtId="9" fontId="40" fillId="0" borderId="0" xfId="6" applyNumberFormat="1" applyFont="1" applyFill="1" applyBorder="1" applyAlignment="1" applyProtection="1">
      <alignment horizontal="center"/>
      <protection locked="0"/>
    </xf>
    <xf numFmtId="0" fontId="39" fillId="0" borderId="0" xfId="6" applyFont="1" applyFill="1" applyBorder="1" applyProtection="1">
      <protection locked="0"/>
    </xf>
    <xf numFmtId="9" fontId="39" fillId="0" borderId="0" xfId="6" applyNumberFormat="1" applyFont="1" applyFill="1" applyBorder="1" applyAlignment="1" applyProtection="1">
      <alignment horizontal="center"/>
      <protection locked="0"/>
    </xf>
    <xf numFmtId="9" fontId="39" fillId="0" borderId="0" xfId="13" applyFont="1" applyFill="1" applyBorder="1" applyAlignment="1" applyProtection="1">
      <alignment horizontal="center"/>
      <protection locked="0"/>
    </xf>
    <xf numFmtId="0" fontId="5" fillId="0" borderId="0" xfId="6" applyFont="1" applyFill="1" applyBorder="1" applyAlignment="1" applyProtection="1">
      <alignment horizontal="center" vertical="center"/>
      <protection hidden="1"/>
    </xf>
    <xf numFmtId="14" fontId="39" fillId="0" borderId="0" xfId="6" applyNumberFormat="1" applyFont="1" applyFill="1" applyBorder="1" applyAlignment="1" applyProtection="1">
      <alignment horizontal="center"/>
      <protection locked="0"/>
    </xf>
    <xf numFmtId="0" fontId="5" fillId="9" borderId="14" xfId="6" applyFont="1" applyFill="1" applyBorder="1" applyAlignment="1" applyProtection="1">
      <alignment horizontal="center" vertical="center"/>
      <protection hidden="1"/>
    </xf>
    <xf numFmtId="0" fontId="43" fillId="0" borderId="0" xfId="6" applyFont="1" applyAlignment="1" applyProtection="1">
      <alignment horizontal="left"/>
      <protection locked="0" hidden="1"/>
    </xf>
    <xf numFmtId="0" fontId="39" fillId="0" borderId="0" xfId="6" applyFont="1" applyFill="1" applyBorder="1" applyAlignment="1" applyProtection="1">
      <alignment horizontal="left" vertical="top" wrapText="1"/>
      <protection hidden="1"/>
    </xf>
    <xf numFmtId="168" fontId="39" fillId="7" borderId="14" xfId="6" applyNumberFormat="1" applyFont="1" applyFill="1" applyBorder="1" applyAlignment="1" applyProtection="1">
      <alignment horizontal="center"/>
      <protection locked="0"/>
    </xf>
    <xf numFmtId="0" fontId="39" fillId="19" borderId="75" xfId="6" applyNumberFormat="1" applyFont="1" applyFill="1" applyBorder="1" applyAlignment="1" applyProtection="1">
      <alignment horizontal="center" vertical="center"/>
      <protection locked="0" hidden="1"/>
    </xf>
    <xf numFmtId="0" fontId="5" fillId="9" borderId="9" xfId="6" applyFont="1" applyFill="1" applyBorder="1" applyAlignment="1" applyProtection="1">
      <alignment horizontal="center" vertical="center" wrapText="1"/>
      <protection hidden="1"/>
    </xf>
    <xf numFmtId="0" fontId="5" fillId="9" borderId="12" xfId="6" applyFont="1" applyFill="1" applyBorder="1" applyAlignment="1" applyProtection="1">
      <alignment horizontal="center" vertical="center" wrapText="1"/>
      <protection hidden="1"/>
    </xf>
    <xf numFmtId="0" fontId="60" fillId="12" borderId="15" xfId="6" applyFont="1" applyFill="1" applyBorder="1" applyAlignment="1" applyProtection="1">
      <alignment horizontal="center" vertical="center" wrapText="1"/>
      <protection hidden="1"/>
    </xf>
    <xf numFmtId="0" fontId="40" fillId="5" borderId="0" xfId="6" applyFont="1" applyFill="1" applyAlignment="1" applyProtection="1">
      <alignment horizontal="center" vertical="center" wrapText="1"/>
      <protection locked="0" hidden="1"/>
    </xf>
    <xf numFmtId="0" fontId="39" fillId="9" borderId="14" xfId="6" applyFont="1" applyFill="1" applyBorder="1" applyProtection="1">
      <protection locked="0" hidden="1"/>
    </xf>
    <xf numFmtId="0" fontId="39" fillId="7" borderId="14" xfId="6" applyFont="1" applyFill="1" applyBorder="1" applyAlignment="1" applyProtection="1">
      <alignment horizontal="center"/>
      <protection locked="0"/>
    </xf>
    <xf numFmtId="0" fontId="5" fillId="0" borderId="0" xfId="6" applyFont="1" applyFill="1" applyBorder="1" applyAlignment="1" applyProtection="1">
      <alignment horizontal="center" vertical="center" wrapText="1"/>
      <protection locked="0" hidden="1"/>
    </xf>
    <xf numFmtId="0" fontId="39" fillId="0" borderId="0" xfId="6" applyFont="1" applyFill="1" applyBorder="1" applyAlignment="1" applyProtection="1">
      <protection locked="0"/>
    </xf>
    <xf numFmtId="0" fontId="5" fillId="0" borderId="0" xfId="6" applyFont="1" applyFill="1" applyBorder="1" applyAlignment="1" applyProtection="1">
      <alignment vertical="center" wrapText="1"/>
      <protection locked="0" hidden="1"/>
    </xf>
    <xf numFmtId="0" fontId="5" fillId="0" borderId="0" xfId="6" applyFont="1" applyFill="1" applyBorder="1" applyAlignment="1" applyProtection="1">
      <alignment horizontal="center" vertical="center"/>
      <protection locked="0" hidden="1"/>
    </xf>
    <xf numFmtId="14" fontId="39" fillId="0" borderId="0" xfId="6" applyNumberFormat="1" applyFont="1" applyFill="1" applyBorder="1" applyAlignment="1" applyProtection="1">
      <alignment horizontal="center"/>
      <protection locked="0" hidden="1"/>
    </xf>
    <xf numFmtId="0" fontId="39" fillId="0" borderId="0" xfId="6" applyNumberFormat="1" applyFont="1" applyFill="1" applyBorder="1" applyAlignment="1" applyProtection="1">
      <alignment horizontal="center"/>
      <protection locked="0" hidden="1"/>
    </xf>
    <xf numFmtId="0" fontId="37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4" fontId="5" fillId="0" borderId="0" xfId="0" applyNumberFormat="1" applyFont="1" applyProtection="1">
      <protection locked="0"/>
    </xf>
    <xf numFmtId="1" fontId="5" fillId="0" borderId="0" xfId="0" applyNumberFormat="1" applyFont="1" applyProtection="1"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0" fontId="37" fillId="0" borderId="0" xfId="0" applyFont="1" applyAlignment="1" applyProtection="1">
      <alignment horizontal="left"/>
      <protection locked="0"/>
    </xf>
    <xf numFmtId="0" fontId="57" fillId="0" borderId="0" xfId="6" applyFont="1" applyProtection="1">
      <protection hidden="1"/>
    </xf>
    <xf numFmtId="14" fontId="39" fillId="10" borderId="14" xfId="6" applyNumberFormat="1" applyFont="1" applyFill="1" applyBorder="1" applyAlignment="1" applyProtection="1">
      <alignment horizontal="center"/>
    </xf>
    <xf numFmtId="165" fontId="39" fillId="0" borderId="0" xfId="6" applyNumberFormat="1" applyFont="1" applyAlignment="1" applyProtection="1">
      <alignment horizontal="center"/>
      <protection locked="0" hidden="1"/>
    </xf>
    <xf numFmtId="0" fontId="57" fillId="0" borderId="0" xfId="6" applyFont="1" applyAlignment="1" applyProtection="1">
      <alignment horizontal="left"/>
      <protection locked="0" hidden="1"/>
    </xf>
    <xf numFmtId="0" fontId="60" fillId="12" borderId="17" xfId="6" applyFont="1" applyFill="1" applyBorder="1" applyAlignment="1" applyProtection="1">
      <alignment vertical="center" wrapText="1"/>
      <protection locked="0" hidden="1"/>
    </xf>
    <xf numFmtId="0" fontId="60" fillId="12" borderId="17" xfId="6" applyFont="1" applyFill="1" applyBorder="1" applyAlignment="1" applyProtection="1">
      <alignment horizontal="center" vertical="center"/>
      <protection locked="0" hidden="1"/>
    </xf>
    <xf numFmtId="14" fontId="39" fillId="19" borderId="128" xfId="6" applyNumberFormat="1" applyFont="1" applyFill="1" applyBorder="1" applyAlignment="1" applyProtection="1">
      <alignment horizontal="center"/>
      <protection locked="0" hidden="1"/>
    </xf>
    <xf numFmtId="0" fontId="39" fillId="19" borderId="128" xfId="6" applyNumberFormat="1" applyFont="1" applyFill="1" applyBorder="1" applyAlignment="1" applyProtection="1">
      <alignment horizontal="center"/>
      <protection locked="0" hidden="1"/>
    </xf>
    <xf numFmtId="0" fontId="39" fillId="19" borderId="128" xfId="6" applyFont="1" applyFill="1" applyBorder="1" applyAlignment="1" applyProtection="1">
      <alignment horizontal="left"/>
      <protection locked="0" hidden="1"/>
    </xf>
    <xf numFmtId="0" fontId="39" fillId="19" borderId="75" xfId="6" applyFont="1" applyFill="1" applyBorder="1" applyAlignment="1" applyProtection="1">
      <alignment horizontal="center"/>
      <protection locked="0" hidden="1"/>
    </xf>
    <xf numFmtId="14" fontId="39" fillId="19" borderId="76" xfId="6" applyNumberFormat="1" applyFont="1" applyFill="1" applyBorder="1" applyAlignment="1" applyProtection="1">
      <alignment horizontal="center"/>
      <protection locked="0" hidden="1"/>
    </xf>
    <xf numFmtId="0" fontId="39" fillId="19" borderId="76" xfId="6" applyNumberFormat="1" applyFont="1" applyFill="1" applyBorder="1" applyAlignment="1" applyProtection="1">
      <alignment horizontal="center"/>
      <protection locked="0" hidden="1"/>
    </xf>
    <xf numFmtId="0" fontId="39" fillId="19" borderId="76" xfId="6" applyFont="1" applyFill="1" applyBorder="1" applyAlignment="1" applyProtection="1">
      <alignment horizontal="left"/>
      <protection locked="0" hidden="1"/>
    </xf>
    <xf numFmtId="0" fontId="39" fillId="19" borderId="42" xfId="6" applyFont="1" applyFill="1" applyBorder="1" applyAlignment="1" applyProtection="1">
      <alignment horizontal="center"/>
      <protection locked="0" hidden="1"/>
    </xf>
    <xf numFmtId="14" fontId="39" fillId="19" borderId="130" xfId="6" applyNumberFormat="1" applyFont="1" applyFill="1" applyBorder="1" applyAlignment="1" applyProtection="1">
      <alignment horizontal="center"/>
      <protection locked="0" hidden="1"/>
    </xf>
    <xf numFmtId="0" fontId="39" fillId="19" borderId="130" xfId="6" applyNumberFormat="1" applyFont="1" applyFill="1" applyBorder="1" applyAlignment="1" applyProtection="1">
      <alignment horizontal="center"/>
      <protection locked="0" hidden="1"/>
    </xf>
    <xf numFmtId="0" fontId="39" fillId="19" borderId="130" xfId="6" applyFont="1" applyFill="1" applyBorder="1" applyAlignment="1" applyProtection="1">
      <protection locked="0" hidden="1"/>
    </xf>
    <xf numFmtId="0" fontId="39" fillId="0" borderId="0" xfId="6" applyFont="1" applyAlignment="1" applyProtection="1">
      <protection locked="0" hidden="1"/>
    </xf>
    <xf numFmtId="0" fontId="48" fillId="0" borderId="0" xfId="0" applyFont="1" applyProtection="1">
      <protection locked="0" hidden="1"/>
    </xf>
    <xf numFmtId="0" fontId="5" fillId="0" borderId="0" xfId="0" applyFont="1" applyProtection="1">
      <protection locked="0" hidden="1"/>
    </xf>
    <xf numFmtId="0" fontId="5" fillId="0" borderId="0" xfId="0" quotePrefix="1" applyFont="1" applyProtection="1">
      <protection locked="0" hidden="1"/>
    </xf>
    <xf numFmtId="170" fontId="54" fillId="5" borderId="0" xfId="0" applyNumberFormat="1" applyFont="1" applyFill="1" applyBorder="1" applyAlignment="1" applyProtection="1">
      <alignment horizontal="center" vertical="center"/>
      <protection locked="0" hidden="1"/>
    </xf>
    <xf numFmtId="0" fontId="54" fillId="5" borderId="0" xfId="0" applyFont="1" applyFill="1" applyBorder="1" applyAlignment="1" applyProtection="1">
      <alignment horizontal="center" vertical="center"/>
      <protection locked="0" hidden="1"/>
    </xf>
    <xf numFmtId="170" fontId="54" fillId="0" borderId="0" xfId="0" applyNumberFormat="1" applyFont="1" applyFill="1" applyBorder="1" applyAlignment="1" applyProtection="1">
      <alignment horizontal="center" vertical="center"/>
      <protection locked="0" hidden="1"/>
    </xf>
    <xf numFmtId="169" fontId="53" fillId="11" borderId="37" xfId="0" applyNumberFormat="1" applyFont="1" applyFill="1" applyBorder="1" applyAlignment="1" applyProtection="1">
      <alignment horizontal="center" vertical="center"/>
      <protection hidden="1"/>
    </xf>
    <xf numFmtId="169" fontId="53" fillId="11" borderId="136" xfId="0" applyNumberFormat="1" applyFont="1" applyFill="1" applyBorder="1" applyAlignment="1" applyProtection="1">
      <alignment horizontal="center" vertical="center"/>
      <protection hidden="1"/>
    </xf>
    <xf numFmtId="0" fontId="53" fillId="11" borderId="38" xfId="0" applyFont="1" applyFill="1" applyBorder="1" applyAlignment="1" applyProtection="1">
      <alignment horizontal="center" vertical="center"/>
      <protection hidden="1"/>
    </xf>
    <xf numFmtId="0" fontId="53" fillId="11" borderId="138" xfId="0" applyFont="1" applyFill="1" applyBorder="1" applyAlignment="1" applyProtection="1">
      <alignment horizontal="center" vertical="center"/>
      <protection hidden="1"/>
    </xf>
    <xf numFmtId="0" fontId="54" fillId="12" borderId="46" xfId="0" applyFont="1" applyFill="1" applyBorder="1" applyAlignment="1" applyProtection="1">
      <alignment horizontal="center" vertical="center"/>
      <protection hidden="1"/>
    </xf>
    <xf numFmtId="0" fontId="54" fillId="12" borderId="45" xfId="0" applyFont="1" applyFill="1" applyBorder="1" applyAlignment="1" applyProtection="1">
      <alignment horizontal="center" vertical="center"/>
      <protection hidden="1"/>
    </xf>
    <xf numFmtId="0" fontId="54" fillId="12" borderId="45" xfId="0" applyFont="1" applyFill="1" applyBorder="1" applyAlignment="1" applyProtection="1">
      <alignment vertical="center"/>
      <protection hidden="1"/>
    </xf>
    <xf numFmtId="0" fontId="54" fillId="12" borderId="134" xfId="0" applyFont="1" applyFill="1" applyBorder="1" applyAlignment="1" applyProtection="1">
      <alignment vertical="center"/>
      <protection hidden="1"/>
    </xf>
    <xf numFmtId="0" fontId="5" fillId="0" borderId="139" xfId="0" applyFont="1" applyBorder="1" applyAlignment="1" applyProtection="1">
      <alignment horizontal="left"/>
      <protection hidden="1"/>
    </xf>
    <xf numFmtId="170" fontId="54" fillId="5" borderId="75" xfId="0" applyNumberFormat="1" applyFont="1" applyFill="1" applyBorder="1" applyAlignment="1" applyProtection="1">
      <alignment horizontal="center" vertical="center"/>
      <protection hidden="1"/>
    </xf>
    <xf numFmtId="1" fontId="54" fillId="5" borderId="75" xfId="0" applyNumberFormat="1" applyFont="1" applyFill="1" applyBorder="1" applyAlignment="1" applyProtection="1">
      <alignment horizontal="center" vertical="center"/>
      <protection hidden="1"/>
    </xf>
    <xf numFmtId="170" fontId="54" fillId="10" borderId="77" xfId="0" applyNumberFormat="1" applyFont="1" applyFill="1" applyBorder="1" applyAlignment="1" applyProtection="1">
      <alignment horizontal="center" vertical="center"/>
      <protection hidden="1"/>
    </xf>
    <xf numFmtId="0" fontId="55" fillId="10" borderId="92" xfId="0" applyFont="1" applyFill="1" applyBorder="1" applyAlignment="1" applyProtection="1">
      <alignment horizontal="center" vertical="center"/>
      <protection hidden="1"/>
    </xf>
    <xf numFmtId="0" fontId="55" fillId="10" borderId="74" xfId="0" applyFont="1" applyFill="1" applyBorder="1" applyAlignment="1" applyProtection="1">
      <alignment horizontal="center" vertical="center"/>
      <protection hidden="1"/>
    </xf>
    <xf numFmtId="0" fontId="55" fillId="10" borderId="93" xfId="0" applyFont="1" applyFill="1" applyBorder="1" applyAlignment="1" applyProtection="1">
      <alignment horizontal="center" vertical="center"/>
      <protection hidden="1"/>
    </xf>
    <xf numFmtId="0" fontId="5" fillId="0" borderId="140" xfId="0" applyFont="1" applyBorder="1" applyAlignment="1" applyProtection="1">
      <alignment horizontal="left"/>
      <protection hidden="1"/>
    </xf>
    <xf numFmtId="170" fontId="54" fillId="5" borderId="141" xfId="0" applyNumberFormat="1" applyFont="1" applyFill="1" applyBorder="1" applyAlignment="1" applyProtection="1">
      <alignment horizontal="center" vertical="center"/>
      <protection hidden="1"/>
    </xf>
    <xf numFmtId="1" fontId="54" fillId="5" borderId="141" xfId="0" applyNumberFormat="1" applyFont="1" applyFill="1" applyBorder="1" applyAlignment="1" applyProtection="1">
      <alignment horizontal="center" vertical="center"/>
      <protection hidden="1"/>
    </xf>
    <xf numFmtId="170" fontId="54" fillId="10" borderId="142" xfId="0" applyNumberFormat="1" applyFont="1" applyFill="1" applyBorder="1" applyAlignment="1" applyProtection="1">
      <alignment horizontal="center" vertical="center"/>
      <protection hidden="1"/>
    </xf>
    <xf numFmtId="0" fontId="55" fillId="10" borderId="94" xfId="0" applyFont="1" applyFill="1" applyBorder="1" applyAlignment="1" applyProtection="1">
      <alignment horizontal="center" vertical="center"/>
      <protection hidden="1"/>
    </xf>
    <xf numFmtId="0" fontId="55" fillId="10" borderId="95" xfId="0" applyFont="1" applyFill="1" applyBorder="1" applyAlignment="1" applyProtection="1">
      <alignment horizontal="center" vertical="center"/>
      <protection hidden="1"/>
    </xf>
    <xf numFmtId="0" fontId="55" fillId="10" borderId="96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locked="0" hidden="1"/>
    </xf>
    <xf numFmtId="0" fontId="20" fillId="0" borderId="0" xfId="0" applyFont="1" applyAlignment="1" applyProtection="1">
      <alignment vertical="center"/>
      <protection locked="0" hidden="1"/>
    </xf>
    <xf numFmtId="0" fontId="34" fillId="0" borderId="0" xfId="0" applyFont="1" applyAlignment="1" applyProtection="1">
      <alignment vertical="center"/>
      <protection locked="0" hidden="1"/>
    </xf>
    <xf numFmtId="0" fontId="59" fillId="0" borderId="0" xfId="0" applyFont="1" applyAlignment="1" applyProtection="1">
      <alignment horizontal="left" vertical="center"/>
      <protection locked="0" hidden="1"/>
    </xf>
    <xf numFmtId="0" fontId="6" fillId="8" borderId="0" xfId="0" applyFont="1" applyFill="1" applyAlignment="1" applyProtection="1">
      <alignment vertical="center"/>
      <protection locked="0" hidden="1"/>
    </xf>
    <xf numFmtId="0" fontId="58" fillId="0" borderId="0" xfId="0" applyFont="1" applyAlignment="1" applyProtection="1">
      <alignment vertical="center"/>
      <protection locked="0" hidden="1"/>
    </xf>
    <xf numFmtId="0" fontId="35" fillId="0" borderId="0" xfId="0" applyFont="1" applyAlignment="1" applyProtection="1">
      <alignment horizontal="left" vertical="center"/>
      <protection locked="0" hidden="1"/>
    </xf>
    <xf numFmtId="0" fontId="4" fillId="0" borderId="0" xfId="0" applyFont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horizontal="center" vertical="center" wrapText="1"/>
      <protection locked="0" hidden="1"/>
    </xf>
    <xf numFmtId="0" fontId="9" fillId="17" borderId="23" xfId="0" applyFont="1" applyFill="1" applyBorder="1" applyAlignment="1" applyProtection="1">
      <alignment horizontal="center" vertical="center" wrapText="1" shrinkToFit="1"/>
      <protection locked="0" hidden="1"/>
    </xf>
    <xf numFmtId="0" fontId="4" fillId="9" borderId="25" xfId="0" applyFont="1" applyFill="1" applyBorder="1" applyAlignment="1" applyProtection="1">
      <alignment vertical="center"/>
      <protection locked="0" hidden="1"/>
    </xf>
    <xf numFmtId="3" fontId="4" fillId="5" borderId="25" xfId="0" applyNumberFormat="1" applyFont="1" applyFill="1" applyBorder="1" applyAlignment="1" applyProtection="1">
      <alignment vertical="center"/>
      <protection locked="0" hidden="1"/>
    </xf>
    <xf numFmtId="2" fontId="4" fillId="9" borderId="27" xfId="0" applyNumberFormat="1" applyFont="1" applyFill="1" applyBorder="1" applyAlignment="1" applyProtection="1">
      <alignment vertical="center"/>
      <protection locked="0" hidden="1"/>
    </xf>
    <xf numFmtId="3" fontId="4" fillId="5" borderId="27" xfId="0" applyNumberFormat="1" applyFont="1" applyFill="1" applyBorder="1" applyAlignment="1" applyProtection="1">
      <alignment vertical="center"/>
      <protection locked="0" hidden="1"/>
    </xf>
    <xf numFmtId="4" fontId="6" fillId="0" borderId="0" xfId="0" applyNumberFormat="1" applyFont="1" applyAlignment="1" applyProtection="1">
      <alignment vertical="center"/>
      <protection locked="0" hidden="1"/>
    </xf>
    <xf numFmtId="3" fontId="4" fillId="5" borderId="29" xfId="0" applyNumberFormat="1" applyFont="1" applyFill="1" applyBorder="1" applyAlignment="1" applyProtection="1">
      <alignment vertical="center"/>
      <protection locked="0" hidden="1"/>
    </xf>
    <xf numFmtId="0" fontId="9" fillId="17" borderId="31" xfId="0" applyFont="1" applyFill="1" applyBorder="1" applyAlignment="1" applyProtection="1">
      <alignment vertical="center"/>
      <protection locked="0" hidden="1"/>
    </xf>
    <xf numFmtId="4" fontId="9" fillId="17" borderId="31" xfId="0" applyNumberFormat="1" applyFont="1" applyFill="1" applyBorder="1" applyAlignment="1" applyProtection="1">
      <alignment vertical="center"/>
      <protection locked="0" hidden="1"/>
    </xf>
    <xf numFmtId="4" fontId="9" fillId="17" borderId="32" xfId="0" applyNumberFormat="1" applyFont="1" applyFill="1" applyBorder="1" applyAlignment="1" applyProtection="1">
      <alignment vertical="center"/>
      <protection locked="0" hidden="1"/>
    </xf>
    <xf numFmtId="4" fontId="9" fillId="17" borderId="33" xfId="0" applyNumberFormat="1" applyFont="1" applyFill="1" applyBorder="1" applyAlignment="1" applyProtection="1">
      <alignment vertical="center"/>
      <protection locked="0" hidden="1"/>
    </xf>
    <xf numFmtId="0" fontId="21" fillId="0" borderId="0" xfId="0" applyFont="1" applyAlignment="1" applyProtection="1">
      <alignment vertical="center"/>
      <protection locked="0" hidden="1"/>
    </xf>
    <xf numFmtId="3" fontId="4" fillId="0" borderId="0" xfId="0" applyNumberFormat="1" applyFont="1" applyAlignment="1" applyProtection="1">
      <alignment vertical="center"/>
      <protection locked="0" hidden="1"/>
    </xf>
    <xf numFmtId="0" fontId="36" fillId="0" borderId="0" xfId="5" applyAlignment="1" applyProtection="1">
      <alignment vertical="center"/>
      <protection locked="0" hidden="1"/>
    </xf>
    <xf numFmtId="4" fontId="4" fillId="0" borderId="0" xfId="0" applyNumberFormat="1" applyFont="1" applyAlignment="1" applyProtection="1">
      <alignment horizontal="right" vertical="center"/>
      <protection locked="0" hidden="1"/>
    </xf>
    <xf numFmtId="0" fontId="4" fillId="0" borderId="0" xfId="3" applyFont="1" applyAlignment="1" applyProtection="1">
      <alignment vertical="center"/>
      <protection locked="0" hidden="1"/>
    </xf>
    <xf numFmtId="0" fontId="6" fillId="0" borderId="0" xfId="3" applyFont="1" applyAlignment="1" applyProtection="1">
      <alignment vertical="center"/>
      <protection locked="0" hidden="1"/>
    </xf>
    <xf numFmtId="0" fontId="6" fillId="0" borderId="0" xfId="3" applyFont="1" applyAlignment="1" applyProtection="1">
      <alignment horizontal="center" vertical="center"/>
      <protection locked="0" hidden="1"/>
    </xf>
    <xf numFmtId="4" fontId="4" fillId="0" borderId="0" xfId="3" applyNumberFormat="1" applyFont="1" applyAlignment="1" applyProtection="1">
      <alignment vertical="center"/>
      <protection locked="0" hidden="1"/>
    </xf>
    <xf numFmtId="3" fontId="4" fillId="0" borderId="0" xfId="3" applyNumberFormat="1" applyFont="1" applyAlignment="1" applyProtection="1">
      <alignment vertical="center"/>
      <protection locked="0" hidden="1"/>
    </xf>
    <xf numFmtId="2" fontId="4" fillId="0" borderId="0" xfId="3" applyNumberFormat="1" applyFont="1" applyAlignment="1" applyProtection="1">
      <alignment vertical="center"/>
      <protection locked="0" hidden="1"/>
    </xf>
    <xf numFmtId="4" fontId="4" fillId="0" borderId="0" xfId="0" applyNumberFormat="1" applyFont="1" applyAlignment="1" applyProtection="1">
      <alignment vertical="center"/>
      <protection locked="0" hidden="1"/>
    </xf>
    <xf numFmtId="165" fontId="4" fillId="0" borderId="0" xfId="0" applyNumberFormat="1" applyFont="1" applyAlignment="1" applyProtection="1">
      <alignment vertical="center"/>
      <protection locked="0" hidden="1"/>
    </xf>
    <xf numFmtId="2" fontId="4" fillId="5" borderId="106" xfId="0" applyNumberFormat="1" applyFont="1" applyFill="1" applyBorder="1" applyAlignment="1" applyProtection="1">
      <alignment vertical="center"/>
      <protection hidden="1"/>
    </xf>
    <xf numFmtId="2" fontId="4" fillId="5" borderId="8" xfId="0" applyNumberFormat="1" applyFont="1" applyFill="1" applyBorder="1" applyAlignment="1" applyProtection="1">
      <alignment vertical="center"/>
      <protection hidden="1"/>
    </xf>
    <xf numFmtId="4" fontId="9" fillId="17" borderId="99" xfId="0" applyNumberFormat="1" applyFont="1" applyFill="1" applyBorder="1" applyAlignment="1" applyProtection="1">
      <alignment vertical="center"/>
      <protection hidden="1"/>
    </xf>
    <xf numFmtId="0" fontId="9" fillId="17" borderId="1" xfId="0" applyFont="1" applyFill="1" applyBorder="1" applyAlignment="1" applyProtection="1">
      <alignment horizontal="center" vertical="center" wrapText="1" shrinkToFit="1"/>
      <protection hidden="1"/>
    </xf>
    <xf numFmtId="0" fontId="9" fillId="17" borderId="24" xfId="0" applyFont="1" applyFill="1" applyBorder="1" applyAlignment="1" applyProtection="1">
      <alignment horizontal="center" vertical="center" wrapText="1" shrinkToFit="1"/>
      <protection hidden="1"/>
    </xf>
    <xf numFmtId="4" fontId="4" fillId="5" borderId="3" xfId="0" applyNumberFormat="1" applyFont="1" applyFill="1" applyBorder="1" applyAlignment="1" applyProtection="1">
      <alignment vertical="center"/>
      <protection hidden="1"/>
    </xf>
    <xf numFmtId="4" fontId="4" fillId="9" borderId="26" xfId="0" applyNumberFormat="1" applyFont="1" applyFill="1" applyBorder="1" applyAlignment="1" applyProtection="1">
      <alignment vertical="center"/>
      <protection hidden="1"/>
    </xf>
    <xf numFmtId="4" fontId="4" fillId="5" borderId="7" xfId="0" applyNumberFormat="1" applyFont="1" applyFill="1" applyBorder="1" applyAlignment="1" applyProtection="1">
      <alignment vertical="center"/>
      <protection hidden="1"/>
    </xf>
    <xf numFmtId="4" fontId="4" fillId="9" borderId="28" xfId="0" applyNumberFormat="1" applyFont="1" applyFill="1" applyBorder="1" applyAlignment="1" applyProtection="1">
      <alignment vertical="center"/>
      <protection hidden="1"/>
    </xf>
    <xf numFmtId="4" fontId="4" fillId="5" borderId="6" xfId="0" applyNumberFormat="1" applyFont="1" applyFill="1" applyBorder="1" applyAlignment="1" applyProtection="1">
      <alignment vertical="center"/>
      <protection hidden="1"/>
    </xf>
    <xf numFmtId="4" fontId="4" fillId="9" borderId="30" xfId="0" applyNumberFormat="1" applyFont="1" applyFill="1" applyBorder="1" applyAlignment="1" applyProtection="1">
      <alignment vertical="center"/>
      <protection hidden="1"/>
    </xf>
    <xf numFmtId="4" fontId="9" fillId="17" borderId="32" xfId="0" applyNumberFormat="1" applyFont="1" applyFill="1" applyBorder="1" applyAlignment="1" applyProtection="1">
      <alignment vertical="center"/>
      <protection hidden="1"/>
    </xf>
    <xf numFmtId="4" fontId="9" fillId="17" borderId="33" xfId="0" applyNumberFormat="1" applyFont="1" applyFill="1" applyBorder="1" applyAlignment="1" applyProtection="1">
      <alignment vertical="center"/>
      <protection hidden="1"/>
    </xf>
    <xf numFmtId="0" fontId="9" fillId="17" borderId="23" xfId="0" applyFont="1" applyFill="1" applyBorder="1" applyAlignment="1" applyProtection="1">
      <alignment horizontal="center" vertical="center" wrapText="1" shrinkToFit="1"/>
      <protection hidden="1"/>
    </xf>
    <xf numFmtId="4" fontId="6" fillId="9" borderId="102" xfId="0" applyNumberFormat="1" applyFont="1" applyFill="1" applyBorder="1" applyAlignment="1" applyProtection="1">
      <alignment vertical="center"/>
      <protection hidden="1"/>
    </xf>
    <xf numFmtId="3" fontId="4" fillId="0" borderId="91" xfId="0" applyNumberFormat="1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 shrinkToFit="1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 wrapText="1" shrinkToFit="1"/>
      <protection hidden="1"/>
    </xf>
    <xf numFmtId="0" fontId="4" fillId="0" borderId="0" xfId="0" applyFont="1" applyAlignment="1" applyProtection="1">
      <alignment vertical="center"/>
      <protection hidden="1"/>
    </xf>
    <xf numFmtId="4" fontId="6" fillId="9" borderId="103" xfId="0" applyNumberFormat="1" applyFont="1" applyFill="1" applyBorder="1" applyAlignment="1" applyProtection="1">
      <alignment vertical="center"/>
      <protection hidden="1"/>
    </xf>
    <xf numFmtId="3" fontId="4" fillId="0" borderId="107" xfId="0" applyNumberFormat="1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10" fontId="4" fillId="0" borderId="0" xfId="0" applyNumberFormat="1" applyFont="1" applyAlignment="1" applyProtection="1">
      <alignment vertical="center"/>
      <protection hidden="1"/>
    </xf>
    <xf numFmtId="4" fontId="6" fillId="0" borderId="0" xfId="0" applyNumberFormat="1" applyFont="1" applyAlignment="1" applyProtection="1">
      <alignment vertical="center"/>
      <protection hidden="1"/>
    </xf>
    <xf numFmtId="4" fontId="6" fillId="9" borderId="104" xfId="0" applyNumberFormat="1" applyFont="1" applyFill="1" applyBorder="1" applyAlignment="1" applyProtection="1">
      <alignment vertical="center"/>
      <protection hidden="1"/>
    </xf>
    <xf numFmtId="4" fontId="9" fillId="17" borderId="105" xfId="0" applyNumberFormat="1" applyFont="1" applyFill="1" applyBorder="1" applyAlignment="1" applyProtection="1">
      <alignment vertical="center"/>
      <protection hidden="1"/>
    </xf>
    <xf numFmtId="0" fontId="8" fillId="17" borderId="41" xfId="0" applyFont="1" applyFill="1" applyBorder="1" applyAlignment="1" applyProtection="1">
      <alignment vertical="center"/>
      <protection hidden="1"/>
    </xf>
    <xf numFmtId="3" fontId="4" fillId="0" borderId="0" xfId="0" applyNumberFormat="1" applyFont="1" applyAlignment="1" applyProtection="1">
      <alignment vertical="center"/>
      <protection hidden="1"/>
    </xf>
    <xf numFmtId="0" fontId="8" fillId="6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10" fontId="4" fillId="2" borderId="0" xfId="0" applyNumberFormat="1" applyFont="1" applyFill="1" applyAlignment="1" applyProtection="1">
      <alignment vertical="center"/>
      <protection hidden="1"/>
    </xf>
    <xf numFmtId="4" fontId="6" fillId="2" borderId="0" xfId="0" applyNumberFormat="1" applyFont="1" applyFill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locked="0" hidden="1"/>
    </xf>
    <xf numFmtId="0" fontId="30" fillId="0" borderId="0" xfId="0" applyFont="1" applyAlignment="1" applyProtection="1">
      <alignment vertical="center"/>
      <protection locked="0" hidden="1"/>
    </xf>
    <xf numFmtId="0" fontId="28" fillId="0" borderId="0" xfId="3" applyFont="1" applyAlignment="1" applyProtection="1">
      <alignment horizontal="left" vertical="center"/>
      <protection locked="0" hidden="1"/>
    </xf>
    <xf numFmtId="0" fontId="23" fillId="0" borderId="18" xfId="0" applyFont="1" applyBorder="1" applyAlignment="1" applyProtection="1">
      <alignment vertical="center" wrapText="1" shrinkToFit="1"/>
      <protection locked="0" hidden="1"/>
    </xf>
    <xf numFmtId="0" fontId="9" fillId="18" borderId="111" xfId="1" applyFont="1" applyFill="1" applyBorder="1" applyAlignment="1" applyProtection="1">
      <alignment horizontal="center" vertical="center" wrapText="1" shrinkToFit="1"/>
      <protection locked="0" hidden="1"/>
    </xf>
    <xf numFmtId="0" fontId="23" fillId="0" borderId="19" xfId="0" applyFont="1" applyBorder="1" applyAlignment="1" applyProtection="1">
      <alignment vertical="center" wrapText="1" shrinkToFit="1"/>
      <protection locked="0" hidden="1"/>
    </xf>
    <xf numFmtId="0" fontId="4" fillId="9" borderId="121" xfId="1" applyFont="1" applyFill="1" applyBorder="1" applyAlignment="1" applyProtection="1">
      <alignment vertical="center"/>
      <protection locked="0" hidden="1"/>
    </xf>
    <xf numFmtId="0" fontId="4" fillId="0" borderId="121" xfId="0" applyFont="1" applyBorder="1" applyAlignment="1" applyProtection="1">
      <alignment horizontal="right" vertical="center"/>
      <protection locked="0" hidden="1"/>
    </xf>
    <xf numFmtId="165" fontId="6" fillId="0" borderId="0" xfId="0" applyNumberFormat="1" applyFont="1" applyAlignment="1" applyProtection="1">
      <alignment vertical="center"/>
      <protection locked="0" hidden="1"/>
    </xf>
    <xf numFmtId="0" fontId="4" fillId="9" borderId="125" xfId="1" applyFont="1" applyFill="1" applyBorder="1" applyAlignment="1" applyProtection="1">
      <alignment vertical="center"/>
      <protection locked="0" hidden="1"/>
    </xf>
    <xf numFmtId="0" fontId="4" fillId="0" borderId="125" xfId="0" applyFont="1" applyBorder="1" applyAlignment="1" applyProtection="1">
      <alignment horizontal="right" vertical="center"/>
      <protection locked="0" hidden="1"/>
    </xf>
    <xf numFmtId="0" fontId="4" fillId="9" borderId="111" xfId="1" applyFont="1" applyFill="1" applyBorder="1" applyAlignment="1" applyProtection="1">
      <alignment vertical="center"/>
      <protection locked="0" hidden="1"/>
    </xf>
    <xf numFmtId="0" fontId="4" fillId="0" borderId="111" xfId="0" applyFont="1" applyBorder="1" applyAlignment="1" applyProtection="1">
      <alignment horizontal="right" vertical="center"/>
      <protection locked="0" hidden="1"/>
    </xf>
    <xf numFmtId="0" fontId="6" fillId="11" borderId="113" xfId="1" applyFont="1" applyFill="1" applyBorder="1" applyAlignment="1" applyProtection="1">
      <alignment vertical="center"/>
      <protection locked="0" hidden="1"/>
    </xf>
    <xf numFmtId="166" fontId="4" fillId="11" borderId="114" xfId="1" applyNumberFormat="1" applyFont="1" applyFill="1" applyBorder="1" applyAlignment="1" applyProtection="1">
      <alignment horizontal="right" vertical="center"/>
      <protection locked="0" hidden="1"/>
    </xf>
    <xf numFmtId="0" fontId="4" fillId="11" borderId="113" xfId="0" applyFont="1" applyFill="1" applyBorder="1" applyAlignment="1" applyProtection="1">
      <alignment horizontal="right" vertical="center"/>
      <protection locked="0" hidden="1"/>
    </xf>
    <xf numFmtId="166" fontId="4" fillId="11" borderId="119" xfId="1" applyNumberFormat="1" applyFont="1" applyFill="1" applyBorder="1" applyAlignment="1" applyProtection="1">
      <alignment horizontal="right" vertical="center"/>
      <protection locked="0" hidden="1"/>
    </xf>
    <xf numFmtId="167" fontId="4" fillId="11" borderId="119" xfId="1" applyNumberFormat="1" applyFont="1" applyFill="1" applyBorder="1" applyAlignment="1" applyProtection="1">
      <alignment horizontal="right" vertical="center"/>
      <protection locked="0" hidden="1"/>
    </xf>
    <xf numFmtId="0" fontId="4" fillId="11" borderId="119" xfId="1" applyFont="1" applyFill="1" applyBorder="1" applyAlignment="1" applyProtection="1">
      <alignment horizontal="right" vertical="center"/>
      <protection locked="0" hidden="1"/>
    </xf>
    <xf numFmtId="0" fontId="4" fillId="11" borderId="119" xfId="0" applyFont="1" applyFill="1" applyBorder="1" applyAlignment="1" applyProtection="1">
      <alignment horizontal="right" vertical="center"/>
      <protection locked="0" hidden="1"/>
    </xf>
    <xf numFmtId="165" fontId="6" fillId="11" borderId="114" xfId="0" applyNumberFormat="1" applyFont="1" applyFill="1" applyBorder="1" applyAlignment="1" applyProtection="1">
      <alignment horizontal="right" vertical="center"/>
      <protection locked="0" hidden="1"/>
    </xf>
    <xf numFmtId="165" fontId="9" fillId="0" borderId="0" xfId="0" applyNumberFormat="1" applyFont="1" applyAlignment="1" applyProtection="1">
      <alignment vertical="center"/>
      <protection locked="0" hidden="1"/>
    </xf>
    <xf numFmtId="165" fontId="4" fillId="0" borderId="0" xfId="0" applyNumberFormat="1" applyFont="1" applyAlignment="1" applyProtection="1">
      <alignment horizontal="right" vertical="center"/>
      <protection locked="0" hidden="1"/>
    </xf>
    <xf numFmtId="44" fontId="4" fillId="0" borderId="0" xfId="0" applyNumberFormat="1" applyFont="1" applyAlignment="1" applyProtection="1">
      <alignment horizontal="right" vertical="center"/>
      <protection locked="0" hidden="1"/>
    </xf>
    <xf numFmtId="44" fontId="4" fillId="0" borderId="0" xfId="2" applyFont="1" applyAlignment="1" applyProtection="1">
      <alignment vertical="center"/>
      <protection locked="0" hidden="1"/>
    </xf>
    <xf numFmtId="44" fontId="4" fillId="0" borderId="0" xfId="2" applyFont="1" applyAlignment="1" applyProtection="1">
      <alignment horizontal="right" vertical="center"/>
      <protection locked="0"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8" borderId="0" xfId="0" applyFont="1" applyFill="1" applyAlignment="1" applyProtection="1">
      <alignment vertical="center"/>
      <protection hidden="1"/>
    </xf>
    <xf numFmtId="10" fontId="4" fillId="8" borderId="0" xfId="0" applyNumberFormat="1" applyFont="1" applyFill="1" applyAlignment="1" applyProtection="1">
      <alignment vertical="center"/>
      <protection hidden="1"/>
    </xf>
    <xf numFmtId="165" fontId="4" fillId="8" borderId="0" xfId="0" applyNumberFormat="1" applyFont="1" applyFill="1" applyAlignment="1" applyProtection="1">
      <alignment horizontal="right" vertical="center"/>
      <protection hidden="1"/>
    </xf>
    <xf numFmtId="44" fontId="4" fillId="8" borderId="0" xfId="0" applyNumberFormat="1" applyFont="1" applyFill="1" applyAlignment="1" applyProtection="1">
      <alignment vertical="center"/>
      <protection hidden="1"/>
    </xf>
    <xf numFmtId="44" fontId="4" fillId="8" borderId="0" xfId="0" applyNumberFormat="1" applyFont="1" applyFill="1" applyAlignment="1" applyProtection="1">
      <alignment horizontal="right" vertical="center"/>
      <protection hidden="1"/>
    </xf>
    <xf numFmtId="165" fontId="4" fillId="0" borderId="122" xfId="1" applyNumberFormat="1" applyFont="1" applyBorder="1" applyAlignment="1" applyProtection="1">
      <alignment horizontal="right" vertical="center"/>
      <protection hidden="1"/>
    </xf>
    <xf numFmtId="165" fontId="4" fillId="0" borderId="126" xfId="1" applyNumberFormat="1" applyFont="1" applyBorder="1" applyAlignment="1" applyProtection="1">
      <alignment horizontal="right" vertical="center"/>
      <protection hidden="1"/>
    </xf>
    <xf numFmtId="165" fontId="4" fillId="0" borderId="118" xfId="1" applyNumberFormat="1" applyFont="1" applyBorder="1" applyAlignment="1" applyProtection="1">
      <alignment horizontal="right" vertical="center"/>
      <protection hidden="1"/>
    </xf>
    <xf numFmtId="0" fontId="9" fillId="18" borderId="32" xfId="1" applyFont="1" applyFill="1" applyBorder="1" applyAlignment="1" applyProtection="1">
      <alignment horizontal="center" vertical="center" wrapText="1" shrinkToFit="1"/>
      <protection hidden="1"/>
    </xf>
    <xf numFmtId="0" fontId="9" fillId="12" borderId="118" xfId="1" applyFont="1" applyFill="1" applyBorder="1" applyAlignment="1" applyProtection="1">
      <alignment horizontal="center" vertical="center" wrapText="1" shrinkToFit="1"/>
      <protection hidden="1"/>
    </xf>
    <xf numFmtId="165" fontId="4" fillId="0" borderId="123" xfId="1" applyNumberFormat="1" applyFont="1" applyBorder="1" applyAlignment="1" applyProtection="1">
      <alignment horizontal="right" vertical="center"/>
      <protection hidden="1"/>
    </xf>
    <xf numFmtId="165" fontId="4" fillId="0" borderId="123" xfId="0" applyNumberFormat="1" applyFont="1" applyBorder="1" applyAlignment="1" applyProtection="1">
      <alignment horizontal="right" vertical="center"/>
      <protection hidden="1"/>
    </xf>
    <xf numFmtId="165" fontId="6" fillId="9" borderId="122" xfId="0" applyNumberFormat="1" applyFont="1" applyFill="1" applyBorder="1" applyAlignment="1" applyProtection="1">
      <alignment horizontal="right" vertical="center"/>
      <protection hidden="1"/>
    </xf>
    <xf numFmtId="165" fontId="4" fillId="0" borderId="127" xfId="1" applyNumberFormat="1" applyFont="1" applyBorder="1" applyAlignment="1" applyProtection="1">
      <alignment horizontal="right" vertical="center"/>
      <protection hidden="1"/>
    </xf>
    <xf numFmtId="165" fontId="4" fillId="0" borderId="127" xfId="0" applyNumberFormat="1" applyFont="1" applyBorder="1" applyAlignment="1" applyProtection="1">
      <alignment horizontal="right" vertical="center"/>
      <protection hidden="1"/>
    </xf>
    <xf numFmtId="165" fontId="6" fillId="9" borderId="126" xfId="0" applyNumberFormat="1" applyFont="1" applyFill="1" applyBorder="1" applyAlignment="1" applyProtection="1">
      <alignment horizontal="right" vertical="center"/>
      <protection hidden="1"/>
    </xf>
    <xf numFmtId="165" fontId="4" fillId="0" borderId="108" xfId="1" applyNumberFormat="1" applyFont="1" applyBorder="1" applyAlignment="1" applyProtection="1">
      <alignment horizontal="right" vertical="center"/>
      <protection hidden="1"/>
    </xf>
    <xf numFmtId="165" fontId="4" fillId="0" borderId="108" xfId="0" applyNumberFormat="1" applyFont="1" applyBorder="1" applyAlignment="1" applyProtection="1">
      <alignment horizontal="right" vertical="center"/>
      <protection hidden="1"/>
    </xf>
    <xf numFmtId="165" fontId="6" fillId="9" borderId="118" xfId="0" applyNumberFormat="1" applyFont="1" applyFill="1" applyBorder="1" applyAlignment="1" applyProtection="1">
      <alignment horizontal="right" vertical="center"/>
      <protection hidden="1"/>
    </xf>
    <xf numFmtId="166" fontId="4" fillId="11" borderId="119" xfId="1" applyNumberFormat="1" applyFont="1" applyFill="1" applyBorder="1" applyAlignment="1" applyProtection="1">
      <alignment horizontal="right" vertical="center"/>
      <protection hidden="1"/>
    </xf>
    <xf numFmtId="167" fontId="4" fillId="11" borderId="119" xfId="1" applyNumberFormat="1" applyFont="1" applyFill="1" applyBorder="1" applyAlignment="1" applyProtection="1">
      <alignment horizontal="right" vertical="center"/>
      <protection hidden="1"/>
    </xf>
    <xf numFmtId="0" fontId="4" fillId="11" borderId="119" xfId="1" applyFont="1" applyFill="1" applyBorder="1" applyAlignment="1" applyProtection="1">
      <alignment horizontal="right" vertical="center"/>
      <protection hidden="1"/>
    </xf>
    <xf numFmtId="0" fontId="4" fillId="11" borderId="119" xfId="0" applyFont="1" applyFill="1" applyBorder="1" applyAlignment="1" applyProtection="1">
      <alignment horizontal="right" vertical="center"/>
      <protection hidden="1"/>
    </xf>
    <xf numFmtId="165" fontId="6" fillId="11" borderId="114" xfId="0" applyNumberFormat="1" applyFont="1" applyFill="1" applyBorder="1" applyAlignment="1" applyProtection="1">
      <alignment horizontal="right" vertical="center"/>
      <protection hidden="1"/>
    </xf>
    <xf numFmtId="165" fontId="6" fillId="0" borderId="122" xfId="0" applyNumberFormat="1" applyFont="1" applyBorder="1" applyAlignment="1" applyProtection="1">
      <alignment horizontal="right" vertical="center"/>
      <protection hidden="1"/>
    </xf>
    <xf numFmtId="165" fontId="6" fillId="0" borderId="126" xfId="0" applyNumberFormat="1" applyFont="1" applyBorder="1" applyAlignment="1" applyProtection="1">
      <alignment horizontal="right" vertical="center"/>
      <protection hidden="1"/>
    </xf>
    <xf numFmtId="165" fontId="6" fillId="0" borderId="118" xfId="0" applyNumberFormat="1" applyFont="1" applyBorder="1" applyAlignment="1" applyProtection="1">
      <alignment horizontal="right" vertical="center"/>
      <protection hidden="1"/>
    </xf>
    <xf numFmtId="0" fontId="9" fillId="18" borderId="108" xfId="1" applyFont="1" applyFill="1" applyBorder="1" applyAlignment="1" applyProtection="1">
      <alignment horizontal="center" vertical="center" wrapText="1" shrinkToFit="1"/>
      <protection hidden="1"/>
    </xf>
    <xf numFmtId="165" fontId="4" fillId="0" borderId="124" xfId="1" applyNumberFormat="1" applyFont="1" applyBorder="1" applyAlignment="1" applyProtection="1">
      <alignment horizontal="right" vertical="center"/>
      <protection hidden="1"/>
    </xf>
    <xf numFmtId="165" fontId="4" fillId="0" borderId="124" xfId="0" applyNumberFormat="1" applyFont="1" applyBorder="1" applyAlignment="1" applyProtection="1">
      <alignment horizontal="right" vertical="center"/>
      <protection hidden="1"/>
    </xf>
    <xf numFmtId="165" fontId="6" fillId="4" borderId="122" xfId="0" applyNumberFormat="1" applyFont="1" applyFill="1" applyBorder="1" applyAlignment="1" applyProtection="1">
      <alignment horizontal="right" vertical="center"/>
      <protection hidden="1"/>
    </xf>
    <xf numFmtId="165" fontId="6" fillId="4" borderId="126" xfId="0" applyNumberFormat="1" applyFont="1" applyFill="1" applyBorder="1" applyAlignment="1" applyProtection="1">
      <alignment horizontal="right" vertical="center"/>
      <protection hidden="1"/>
    </xf>
    <xf numFmtId="165" fontId="6" fillId="4" borderId="118" xfId="0" applyNumberFormat="1" applyFont="1" applyFill="1" applyBorder="1" applyAlignment="1" applyProtection="1">
      <alignment horizontal="right" vertical="center"/>
      <protection hidden="1"/>
    </xf>
    <xf numFmtId="0" fontId="9" fillId="18" borderId="111" xfId="1" applyFont="1" applyFill="1" applyBorder="1" applyAlignment="1" applyProtection="1">
      <alignment horizontal="center" vertical="center" wrapText="1" shrinkToFit="1"/>
      <protection hidden="1"/>
    </xf>
    <xf numFmtId="0" fontId="9" fillId="18" borderId="120" xfId="1" applyFont="1" applyFill="1" applyBorder="1" applyAlignment="1" applyProtection="1">
      <alignment horizontal="center" vertical="center" wrapText="1" shrinkToFit="1"/>
      <protection hidden="1"/>
    </xf>
    <xf numFmtId="0" fontId="4" fillId="0" borderId="121" xfId="0" applyFont="1" applyBorder="1" applyAlignment="1" applyProtection="1">
      <alignment vertical="center"/>
      <protection hidden="1"/>
    </xf>
    <xf numFmtId="165" fontId="4" fillId="0" borderId="122" xfId="0" applyNumberFormat="1" applyFont="1" applyBorder="1" applyAlignment="1" applyProtection="1">
      <alignment vertical="center"/>
      <protection hidden="1"/>
    </xf>
    <xf numFmtId="0" fontId="4" fillId="0" borderId="125" xfId="0" applyFont="1" applyBorder="1" applyAlignment="1" applyProtection="1">
      <alignment vertical="center"/>
      <protection hidden="1"/>
    </xf>
    <xf numFmtId="165" fontId="4" fillId="0" borderId="126" xfId="0" applyNumberFormat="1" applyFont="1" applyBorder="1" applyAlignment="1" applyProtection="1">
      <alignment vertical="center"/>
      <protection hidden="1"/>
    </xf>
    <xf numFmtId="0" fontId="4" fillId="0" borderId="111" xfId="0" applyFont="1" applyBorder="1" applyAlignment="1" applyProtection="1">
      <alignment vertical="center"/>
      <protection hidden="1"/>
    </xf>
    <xf numFmtId="165" fontId="4" fillId="0" borderId="118" xfId="0" applyNumberFormat="1" applyFont="1" applyBorder="1" applyAlignment="1" applyProtection="1">
      <alignment vertical="center"/>
      <protection hidden="1"/>
    </xf>
    <xf numFmtId="165" fontId="6" fillId="11" borderId="113" xfId="0" applyNumberFormat="1" applyFont="1" applyFill="1" applyBorder="1" applyAlignment="1" applyProtection="1">
      <alignment horizontal="right" vertical="center"/>
      <protection hidden="1"/>
    </xf>
    <xf numFmtId="0" fontId="20" fillId="0" borderId="0" xfId="0" applyFont="1" applyAlignment="1" applyProtection="1">
      <alignment vertical="center"/>
      <protection locked="0"/>
    </xf>
    <xf numFmtId="0" fontId="34" fillId="0" borderId="0" xfId="0" applyFont="1" applyAlignment="1" applyProtection="1">
      <alignment vertical="center"/>
      <protection locked="0"/>
    </xf>
    <xf numFmtId="0" fontId="62" fillId="0" borderId="0" xfId="0" quotePrefix="1" applyFont="1" applyProtection="1">
      <protection locked="0"/>
    </xf>
    <xf numFmtId="0" fontId="63" fillId="17" borderId="155" xfId="3" applyFont="1" applyFill="1" applyBorder="1" applyAlignment="1" applyProtection="1">
      <alignment horizontal="center" vertical="center" wrapText="1"/>
    </xf>
    <xf numFmtId="0" fontId="63" fillId="17" borderId="156" xfId="3" applyFont="1" applyFill="1" applyBorder="1" applyAlignment="1" applyProtection="1">
      <alignment horizontal="center" vertical="center" wrapText="1"/>
    </xf>
    <xf numFmtId="2" fontId="64" fillId="17" borderId="149" xfId="3" applyNumberFormat="1" applyFont="1" applyFill="1" applyBorder="1" applyAlignment="1" applyProtection="1">
      <alignment horizontal="center" vertical="center" wrapText="1"/>
    </xf>
    <xf numFmtId="2" fontId="4" fillId="0" borderId="83" xfId="0" applyNumberFormat="1" applyFont="1" applyBorder="1" applyAlignment="1" applyProtection="1">
      <alignment vertical="center"/>
    </xf>
    <xf numFmtId="2" fontId="4" fillId="0" borderId="43" xfId="0" applyNumberFormat="1" applyFont="1" applyBorder="1" applyAlignment="1" applyProtection="1">
      <alignment vertical="center"/>
    </xf>
    <xf numFmtId="2" fontId="4" fillId="0" borderId="133" xfId="0" applyNumberFormat="1" applyFont="1" applyBorder="1" applyAlignment="1" applyProtection="1">
      <alignment vertical="center"/>
    </xf>
    <xf numFmtId="2" fontId="4" fillId="0" borderId="75" xfId="0" applyNumberFormat="1" applyFont="1" applyBorder="1" applyAlignment="1" applyProtection="1">
      <alignment vertical="center"/>
    </xf>
    <xf numFmtId="0" fontId="4" fillId="0" borderId="75" xfId="0" applyFont="1" applyBorder="1" applyAlignment="1" applyProtection="1">
      <alignment vertical="center"/>
    </xf>
    <xf numFmtId="2" fontId="4" fillId="0" borderId="143" xfId="0" applyNumberFormat="1" applyFont="1" applyBorder="1" applyAlignment="1" applyProtection="1">
      <alignment vertical="center"/>
    </xf>
    <xf numFmtId="2" fontId="4" fillId="17" borderId="75" xfId="0" applyNumberFormat="1" applyFont="1" applyFill="1" applyBorder="1" applyAlignment="1" applyProtection="1">
      <alignment vertical="center"/>
    </xf>
    <xf numFmtId="0" fontId="4" fillId="17" borderId="75" xfId="0" applyFont="1" applyFill="1" applyBorder="1" applyAlignment="1" applyProtection="1">
      <alignment vertical="center"/>
    </xf>
    <xf numFmtId="0" fontId="4" fillId="17" borderId="107" xfId="0" applyFont="1" applyFill="1" applyBorder="1" applyAlignment="1" applyProtection="1">
      <alignment vertical="center"/>
    </xf>
    <xf numFmtId="2" fontId="4" fillId="0" borderId="107" xfId="0" applyNumberFormat="1" applyFont="1" applyBorder="1" applyAlignment="1" applyProtection="1">
      <alignment vertical="center"/>
    </xf>
    <xf numFmtId="2" fontId="4" fillId="0" borderId="135" xfId="0" applyNumberFormat="1" applyFont="1" applyBorder="1" applyAlignment="1" applyProtection="1">
      <alignment vertical="center"/>
    </xf>
    <xf numFmtId="0" fontId="4" fillId="0" borderId="141" xfId="0" applyFont="1" applyBorder="1" applyAlignment="1" applyProtection="1">
      <alignment vertical="center"/>
    </xf>
    <xf numFmtId="0" fontId="4" fillId="0" borderId="161" xfId="0" applyFont="1" applyBorder="1" applyAlignment="1" applyProtection="1">
      <alignment vertical="center"/>
    </xf>
    <xf numFmtId="0" fontId="4" fillId="0" borderId="160" xfId="0" applyFont="1" applyBorder="1" applyAlignment="1" applyProtection="1">
      <alignment vertical="center"/>
    </xf>
    <xf numFmtId="0" fontId="4" fillId="0" borderId="139" xfId="0" applyFont="1" applyBorder="1" applyAlignment="1" applyProtection="1">
      <alignment vertical="center"/>
    </xf>
    <xf numFmtId="0" fontId="4" fillId="17" borderId="139" xfId="0" applyFont="1" applyFill="1" applyBorder="1" applyAlignment="1" applyProtection="1">
      <alignment vertical="center"/>
    </xf>
    <xf numFmtId="0" fontId="4" fillId="0" borderId="140" xfId="0" applyFont="1" applyBorder="1" applyAlignment="1" applyProtection="1">
      <alignment vertical="center"/>
    </xf>
    <xf numFmtId="0" fontId="5" fillId="0" borderId="0" xfId="0" applyFont="1" applyProtection="1">
      <protection locked="0"/>
    </xf>
    <xf numFmtId="0" fontId="48" fillId="0" borderId="0" xfId="0" applyFont="1" applyProtection="1">
      <protection locked="0"/>
    </xf>
    <xf numFmtId="0" fontId="37" fillId="0" borderId="81" xfId="0" applyFont="1" applyBorder="1" applyProtection="1">
      <protection locked="0"/>
    </xf>
    <xf numFmtId="0" fontId="5" fillId="0" borderId="75" xfId="0" applyFont="1" applyBorder="1" applyProtection="1">
      <protection locked="0"/>
    </xf>
    <xf numFmtId="0" fontId="37" fillId="0" borderId="75" xfId="0" applyFont="1" applyBorder="1" applyProtection="1">
      <protection locked="0"/>
    </xf>
    <xf numFmtId="0" fontId="5" fillId="0" borderId="82" xfId="0" applyFont="1" applyBorder="1" applyProtection="1">
      <protection locked="0"/>
    </xf>
    <xf numFmtId="2" fontId="5" fillId="0" borderId="75" xfId="0" applyNumberFormat="1" applyFont="1" applyBorder="1" applyProtection="1">
      <protection locked="0"/>
    </xf>
    <xf numFmtId="167" fontId="5" fillId="0" borderId="75" xfId="0" applyNumberFormat="1" applyFont="1" applyBorder="1" applyProtection="1">
      <protection locked="0"/>
    </xf>
    <xf numFmtId="0" fontId="5" fillId="0" borderId="80" xfId="0" applyFont="1" applyBorder="1" applyProtection="1">
      <protection locked="0"/>
    </xf>
    <xf numFmtId="0" fontId="37" fillId="0" borderId="80" xfId="0" applyFont="1" applyBorder="1" applyProtection="1">
      <protection locked="0"/>
    </xf>
    <xf numFmtId="167" fontId="5" fillId="0" borderId="80" xfId="0" applyNumberFormat="1" applyFont="1" applyBorder="1" applyProtection="1">
      <protection locked="0"/>
    </xf>
    <xf numFmtId="0" fontId="37" fillId="20" borderId="15" xfId="0" applyFont="1" applyFill="1" applyBorder="1" applyAlignment="1" applyProtection="1">
      <alignment horizontal="center"/>
      <protection locked="0"/>
    </xf>
    <xf numFmtId="0" fontId="37" fillId="20" borderId="16" xfId="0" applyFont="1" applyFill="1" applyBorder="1" applyAlignment="1" applyProtection="1">
      <alignment horizontal="center"/>
      <protection locked="0"/>
    </xf>
    <xf numFmtId="0" fontId="41" fillId="0" borderId="15" xfId="0" applyFont="1" applyBorder="1" applyProtection="1">
      <protection locked="0"/>
    </xf>
    <xf numFmtId="0" fontId="41" fillId="0" borderId="78" xfId="0" applyFont="1" applyBorder="1" applyProtection="1">
      <protection locked="0"/>
    </xf>
    <xf numFmtId="0" fontId="5" fillId="0" borderId="78" xfId="0" applyFont="1" applyBorder="1" applyProtection="1">
      <protection locked="0"/>
    </xf>
    <xf numFmtId="0" fontId="5" fillId="0" borderId="17" xfId="0" applyFont="1" applyBorder="1" applyProtection="1">
      <protection locked="0"/>
    </xf>
    <xf numFmtId="0" fontId="5" fillId="0" borderId="15" xfId="0" applyFont="1" applyBorder="1" applyProtection="1">
      <protection locked="0"/>
    </xf>
    <xf numFmtId="0" fontId="37" fillId="0" borderId="14" xfId="0" applyFont="1" applyBorder="1" applyAlignment="1" applyProtection="1">
      <alignment horizontal="center"/>
      <protection locked="0"/>
    </xf>
    <xf numFmtId="0" fontId="5" fillId="12" borderId="0" xfId="0" applyFont="1" applyFill="1" applyProtection="1"/>
    <xf numFmtId="0" fontId="10" fillId="12" borderId="37" xfId="0" applyNumberFormat="1" applyFont="1" applyFill="1" applyBorder="1" applyAlignment="1" applyProtection="1">
      <alignment horizontal="center" vertical="center"/>
    </xf>
    <xf numFmtId="0" fontId="67" fillId="12" borderId="14" xfId="0" applyFont="1" applyFill="1" applyBorder="1" applyAlignment="1" applyProtection="1">
      <alignment horizontal="center" vertical="center" wrapText="1" shrinkToFit="1"/>
    </xf>
    <xf numFmtId="0" fontId="67" fillId="12" borderId="14" xfId="0" applyFont="1" applyFill="1" applyBorder="1" applyAlignment="1" applyProtection="1">
      <alignment horizontal="center"/>
    </xf>
    <xf numFmtId="0" fontId="10" fillId="12" borderId="38" xfId="0" applyFont="1" applyFill="1" applyBorder="1" applyAlignment="1" applyProtection="1">
      <alignment horizontal="center" vertical="center"/>
    </xf>
    <xf numFmtId="0" fontId="5" fillId="0" borderId="81" xfId="0" applyFont="1" applyBorder="1" applyProtection="1"/>
    <xf numFmtId="0" fontId="5" fillId="0" borderId="75" xfId="0" applyFont="1" applyBorder="1" applyProtection="1"/>
    <xf numFmtId="0" fontId="5" fillId="0" borderId="80" xfId="0" applyFont="1" applyBorder="1" applyProtection="1"/>
    <xf numFmtId="0" fontId="37" fillId="0" borderId="17" xfId="0" applyFont="1" applyBorder="1" applyProtection="1"/>
    <xf numFmtId="0" fontId="70" fillId="0" borderId="0" xfId="0" applyFont="1" applyFill="1" applyProtection="1"/>
    <xf numFmtId="0" fontId="5" fillId="0" borderId="0" xfId="0" applyFont="1" applyProtection="1"/>
    <xf numFmtId="0" fontId="74" fillId="0" borderId="0" xfId="0" applyFont="1" applyProtection="1"/>
    <xf numFmtId="0" fontId="71" fillId="19" borderId="0" xfId="0" applyFont="1" applyFill="1" applyProtection="1"/>
    <xf numFmtId="165" fontId="72" fillId="19" borderId="0" xfId="0" applyNumberFormat="1" applyFont="1" applyFill="1" applyProtection="1"/>
    <xf numFmtId="0" fontId="69" fillId="12" borderId="0" xfId="0" applyFont="1" applyFill="1" applyAlignment="1" applyProtection="1">
      <alignment horizontal="center"/>
    </xf>
    <xf numFmtId="0" fontId="69" fillId="12" borderId="137" xfId="0" applyFont="1" applyFill="1" applyBorder="1" applyAlignment="1" applyProtection="1">
      <alignment horizontal="center"/>
    </xf>
    <xf numFmtId="0" fontId="69" fillId="12" borderId="0" xfId="0" applyFont="1" applyFill="1" applyBorder="1" applyAlignment="1" applyProtection="1">
      <alignment horizontal="center"/>
    </xf>
    <xf numFmtId="0" fontId="69" fillId="12" borderId="91" xfId="0" applyFont="1" applyFill="1" applyBorder="1" applyAlignment="1" applyProtection="1">
      <alignment horizontal="center"/>
    </xf>
    <xf numFmtId="0" fontId="69" fillId="12" borderId="0" xfId="0" applyFont="1" applyFill="1" applyAlignment="1" applyProtection="1">
      <alignment horizontal="center" vertical="center" wrapText="1" shrinkToFit="1"/>
    </xf>
    <xf numFmtId="0" fontId="5" fillId="0" borderId="0" xfId="0" applyFont="1" applyAlignment="1" applyProtection="1">
      <alignment horizontal="center"/>
    </xf>
    <xf numFmtId="2" fontId="5" fillId="0" borderId="137" xfId="0" applyNumberFormat="1" applyFont="1" applyBorder="1" applyAlignment="1" applyProtection="1">
      <alignment horizontal="center"/>
    </xf>
    <xf numFmtId="2" fontId="5" fillId="0" borderId="0" xfId="0" applyNumberFormat="1" applyFont="1" applyBorder="1" applyAlignment="1" applyProtection="1">
      <alignment horizontal="center"/>
    </xf>
    <xf numFmtId="2" fontId="5" fillId="0" borderId="91" xfId="0" applyNumberFormat="1" applyFont="1" applyBorder="1" applyAlignment="1" applyProtection="1">
      <alignment horizontal="center"/>
    </xf>
    <xf numFmtId="44" fontId="5" fillId="0" borderId="0" xfId="0" applyNumberFormat="1" applyFont="1" applyAlignment="1" applyProtection="1">
      <alignment horizontal="center"/>
    </xf>
    <xf numFmtId="0" fontId="5" fillId="0" borderId="73" xfId="0" applyFont="1" applyBorder="1" applyAlignment="1" applyProtection="1">
      <alignment horizontal="center"/>
    </xf>
    <xf numFmtId="2" fontId="5" fillId="0" borderId="139" xfId="0" applyNumberFormat="1" applyFont="1" applyBorder="1" applyAlignment="1" applyProtection="1">
      <alignment horizontal="center"/>
    </xf>
    <xf numFmtId="2" fontId="5" fillId="0" borderId="73" xfId="0" applyNumberFormat="1" applyFont="1" applyBorder="1" applyAlignment="1" applyProtection="1">
      <alignment horizontal="center"/>
    </xf>
    <xf numFmtId="2" fontId="5" fillId="0" borderId="107" xfId="0" applyNumberFormat="1" applyFont="1" applyBorder="1" applyAlignment="1" applyProtection="1">
      <alignment horizontal="center"/>
    </xf>
    <xf numFmtId="44" fontId="5" fillId="0" borderId="73" xfId="0" applyNumberFormat="1" applyFont="1" applyBorder="1" applyAlignment="1" applyProtection="1">
      <alignment horizontal="center"/>
    </xf>
    <xf numFmtId="4" fontId="69" fillId="12" borderId="39" xfId="0" applyNumberFormat="1" applyFont="1" applyFill="1" applyBorder="1" applyAlignment="1" applyProtection="1">
      <alignment horizontal="center"/>
    </xf>
    <xf numFmtId="4" fontId="69" fillId="12" borderId="40" xfId="0" applyNumberFormat="1" applyFont="1" applyFill="1" applyBorder="1" applyAlignment="1" applyProtection="1">
      <alignment horizontal="center"/>
    </xf>
    <xf numFmtId="4" fontId="69" fillId="12" borderId="41" xfId="0" applyNumberFormat="1" applyFont="1" applyFill="1" applyBorder="1" applyAlignment="1" applyProtection="1">
      <alignment horizontal="center"/>
    </xf>
    <xf numFmtId="165" fontId="69" fillId="12" borderId="0" xfId="0" applyNumberFormat="1" applyFont="1" applyFill="1" applyAlignment="1" applyProtection="1">
      <alignment horizontal="right"/>
    </xf>
    <xf numFmtId="0" fontId="69" fillId="0" borderId="0" xfId="0" applyFont="1" applyFill="1" applyBorder="1" applyAlignment="1" applyProtection="1">
      <alignment horizontal="center"/>
    </xf>
    <xf numFmtId="0" fontId="75" fillId="0" borderId="0" xfId="0" applyFont="1" applyProtection="1"/>
    <xf numFmtId="44" fontId="75" fillId="0" borderId="0" xfId="0" applyNumberFormat="1" applyFont="1" applyProtection="1"/>
    <xf numFmtId="165" fontId="5" fillId="0" borderId="0" xfId="0" applyNumberFormat="1" applyFont="1" applyAlignment="1" applyProtection="1">
      <alignment horizontal="center"/>
    </xf>
    <xf numFmtId="44" fontId="5" fillId="0" borderId="0" xfId="0" applyNumberFormat="1" applyFont="1" applyFill="1" applyBorder="1" applyAlignment="1" applyProtection="1">
      <alignment horizontal="center"/>
    </xf>
    <xf numFmtId="165" fontId="5" fillId="0" borderId="73" xfId="0" applyNumberFormat="1" applyFont="1" applyBorder="1" applyAlignment="1" applyProtection="1">
      <alignment horizontal="center"/>
    </xf>
    <xf numFmtId="165" fontId="69" fillId="12" borderId="0" xfId="0" applyNumberFormat="1" applyFont="1" applyFill="1" applyAlignment="1" applyProtection="1">
      <alignment horizontal="center"/>
    </xf>
    <xf numFmtId="165" fontId="69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/>
    </xf>
    <xf numFmtId="165" fontId="5" fillId="0" borderId="137" xfId="0" applyNumberFormat="1" applyFont="1" applyBorder="1" applyAlignment="1" applyProtection="1">
      <alignment horizontal="center"/>
    </xf>
    <xf numFmtId="165" fontId="5" fillId="0" borderId="91" xfId="0" applyNumberFormat="1" applyFont="1" applyBorder="1" applyAlignment="1" applyProtection="1">
      <alignment horizontal="center"/>
    </xf>
    <xf numFmtId="165" fontId="5" fillId="0" borderId="139" xfId="0" applyNumberFormat="1" applyFont="1" applyBorder="1" applyAlignment="1" applyProtection="1">
      <alignment horizontal="center"/>
    </xf>
    <xf numFmtId="165" fontId="5" fillId="0" borderId="107" xfId="0" applyNumberFormat="1" applyFont="1" applyBorder="1" applyAlignment="1" applyProtection="1">
      <alignment horizontal="center"/>
    </xf>
    <xf numFmtId="165" fontId="69" fillId="12" borderId="39" xfId="0" applyNumberFormat="1" applyFont="1" applyFill="1" applyBorder="1" applyAlignment="1" applyProtection="1">
      <alignment horizontal="center"/>
    </xf>
    <xf numFmtId="165" fontId="69" fillId="12" borderId="40" xfId="0" applyNumberFormat="1" applyFont="1" applyFill="1" applyBorder="1" applyAlignment="1" applyProtection="1">
      <alignment horizontal="center"/>
    </xf>
    <xf numFmtId="165" fontId="69" fillId="12" borderId="41" xfId="0" applyNumberFormat="1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vertical="center"/>
      <protection locked="0"/>
    </xf>
    <xf numFmtId="4" fontId="11" fillId="8" borderId="165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horizontal="left" vertical="center"/>
    </xf>
    <xf numFmtId="0" fontId="50" fillId="0" borderId="0" xfId="0" applyFont="1" applyAlignment="1" applyProtection="1">
      <alignment horizontal="right" vertical="center"/>
    </xf>
    <xf numFmtId="165" fontId="42" fillId="3" borderId="0" xfId="0" applyNumberFormat="1" applyFont="1" applyFill="1" applyAlignment="1" applyProtection="1">
      <alignment vertical="center"/>
    </xf>
    <xf numFmtId="0" fontId="22" fillId="0" borderId="0" xfId="0" applyFont="1" applyAlignment="1" applyProtection="1">
      <alignment horizontal="center" vertical="center" wrapText="1"/>
    </xf>
    <xf numFmtId="165" fontId="16" fillId="0" borderId="0" xfId="0" applyNumberFormat="1" applyFont="1" applyAlignment="1" applyProtection="1">
      <alignment vertical="center"/>
    </xf>
    <xf numFmtId="0" fontId="22" fillId="3" borderId="0" xfId="0" applyFont="1" applyFill="1" applyAlignment="1" applyProtection="1">
      <alignment horizontal="center" vertical="center" wrapText="1"/>
    </xf>
    <xf numFmtId="0" fontId="15" fillId="3" borderId="0" xfId="0" applyFont="1" applyFill="1" applyAlignment="1" applyProtection="1">
      <alignment horizontal="right" vertical="center"/>
    </xf>
    <xf numFmtId="165" fontId="15" fillId="3" borderId="0" xfId="0" applyNumberFormat="1" applyFont="1" applyFill="1" applyAlignment="1" applyProtection="1">
      <alignment vertical="center"/>
    </xf>
    <xf numFmtId="0" fontId="16" fillId="0" borderId="0" xfId="0" applyFont="1" applyAlignment="1" applyProtection="1">
      <alignment vertical="center"/>
    </xf>
    <xf numFmtId="0" fontId="11" fillId="9" borderId="137" xfId="0" applyFont="1" applyFill="1" applyBorder="1" applyAlignment="1" applyProtection="1">
      <alignment vertical="center"/>
    </xf>
    <xf numFmtId="0" fontId="7" fillId="0" borderId="172" xfId="0" applyFont="1" applyBorder="1" applyAlignment="1" applyProtection="1">
      <alignment vertical="center"/>
    </xf>
    <xf numFmtId="0" fontId="7" fillId="0" borderId="164" xfId="0" applyFont="1" applyBorder="1" applyAlignment="1" applyProtection="1">
      <alignment vertical="center"/>
    </xf>
    <xf numFmtId="0" fontId="7" fillId="0" borderId="137" xfId="0" applyFont="1" applyBorder="1" applyAlignment="1" applyProtection="1">
      <alignment vertical="center"/>
    </xf>
    <xf numFmtId="0" fontId="11" fillId="9" borderId="164" xfId="0" applyFont="1" applyFill="1" applyBorder="1" applyAlignment="1" applyProtection="1">
      <alignment vertical="center"/>
    </xf>
    <xf numFmtId="0" fontId="11" fillId="9" borderId="164" xfId="0" applyFont="1" applyFill="1" applyBorder="1" applyAlignment="1" applyProtection="1">
      <alignment vertical="center" wrapText="1"/>
    </xf>
    <xf numFmtId="0" fontId="10" fillId="12" borderId="166" xfId="0" applyFont="1" applyFill="1" applyBorder="1" applyAlignment="1" applyProtection="1">
      <alignment vertical="center"/>
    </xf>
    <xf numFmtId="0" fontId="11" fillId="5" borderId="169" xfId="0" applyFont="1" applyFill="1" applyBorder="1" applyAlignment="1" applyProtection="1">
      <alignment vertical="center"/>
    </xf>
    <xf numFmtId="0" fontId="10" fillId="12" borderId="47" xfId="0" applyFont="1" applyFill="1" applyBorder="1" applyAlignment="1" applyProtection="1">
      <alignment vertical="center"/>
    </xf>
    <xf numFmtId="0" fontId="7" fillId="5" borderId="162" xfId="0" applyFont="1" applyFill="1" applyBorder="1" applyAlignment="1" applyProtection="1">
      <alignment vertical="center"/>
    </xf>
    <xf numFmtId="0" fontId="7" fillId="19" borderId="0" xfId="0" applyFont="1" applyFill="1" applyBorder="1" applyAlignment="1" applyProtection="1">
      <alignment vertical="center"/>
    </xf>
    <xf numFmtId="0" fontId="65" fillId="12" borderId="4" xfId="0" applyFont="1" applyFill="1" applyBorder="1" applyAlignment="1" applyProtection="1">
      <alignment vertical="center"/>
    </xf>
    <xf numFmtId="0" fontId="65" fillId="0" borderId="0" xfId="0" applyFont="1" applyFill="1" applyBorder="1" applyAlignment="1" applyProtection="1">
      <alignment vertical="center"/>
    </xf>
    <xf numFmtId="0" fontId="65" fillId="12" borderId="0" xfId="0" applyFont="1" applyFill="1" applyAlignment="1" applyProtection="1">
      <alignment vertical="center"/>
    </xf>
    <xf numFmtId="4" fontId="11" fillId="8" borderId="67" xfId="0" applyNumberFormat="1" applyFont="1" applyFill="1" applyBorder="1" applyAlignment="1" applyProtection="1">
      <alignment horizontal="right" vertical="center"/>
    </xf>
    <xf numFmtId="4" fontId="11" fillId="8" borderId="91" xfId="0" applyNumberFormat="1" applyFont="1" applyFill="1" applyBorder="1" applyAlignment="1" applyProtection="1">
      <alignment horizontal="right" vertical="center"/>
    </xf>
    <xf numFmtId="4" fontId="7" fillId="0" borderId="173" xfId="0" applyNumberFormat="1" applyFont="1" applyBorder="1" applyAlignment="1" applyProtection="1">
      <alignment horizontal="right" vertical="center"/>
    </xf>
    <xf numFmtId="4" fontId="7" fillId="0" borderId="174" xfId="0" applyNumberFormat="1" applyFont="1" applyBorder="1" applyAlignment="1" applyProtection="1">
      <alignment horizontal="right" vertical="center"/>
    </xf>
    <xf numFmtId="4" fontId="7" fillId="0" borderId="70" xfId="0" applyNumberFormat="1" applyFont="1" applyBorder="1" applyAlignment="1" applyProtection="1">
      <alignment horizontal="right" vertical="center"/>
    </xf>
    <xf numFmtId="4" fontId="7" fillId="0" borderId="165" xfId="0" applyNumberFormat="1" applyFont="1" applyBorder="1" applyAlignment="1" applyProtection="1">
      <alignment horizontal="right" vertical="center"/>
    </xf>
    <xf numFmtId="4" fontId="7" fillId="0" borderId="67" xfId="0" applyNumberFormat="1" applyFont="1" applyBorder="1" applyAlignment="1" applyProtection="1">
      <alignment horizontal="right" vertical="center"/>
    </xf>
    <xf numFmtId="4" fontId="7" fillId="0" borderId="91" xfId="0" applyNumberFormat="1" applyFont="1" applyBorder="1" applyAlignment="1" applyProtection="1">
      <alignment horizontal="right" vertical="center"/>
    </xf>
    <xf numFmtId="4" fontId="10" fillId="12" borderId="71" xfId="0" applyNumberFormat="1" applyFont="1" applyFill="1" applyBorder="1" applyAlignment="1" applyProtection="1">
      <alignment horizontal="right" vertical="center"/>
    </xf>
    <xf numFmtId="4" fontId="10" fillId="12" borderId="167" xfId="0" applyNumberFormat="1" applyFont="1" applyFill="1" applyBorder="1" applyAlignment="1" applyProtection="1">
      <alignment horizontal="right" vertical="center"/>
    </xf>
    <xf numFmtId="4" fontId="11" fillId="5" borderId="85" xfId="0" applyNumberFormat="1" applyFont="1" applyFill="1" applyBorder="1" applyAlignment="1" applyProtection="1">
      <alignment horizontal="right" vertical="center"/>
    </xf>
    <xf numFmtId="4" fontId="11" fillId="5" borderId="170" xfId="0" applyNumberFormat="1" applyFont="1" applyFill="1" applyBorder="1" applyAlignment="1" applyProtection="1">
      <alignment horizontal="right" vertical="center"/>
    </xf>
    <xf numFmtId="4" fontId="10" fillId="12" borderId="171" xfId="0" applyNumberFormat="1" applyFont="1" applyFill="1" applyBorder="1" applyAlignment="1" applyProtection="1">
      <alignment vertical="center"/>
    </xf>
    <xf numFmtId="4" fontId="10" fillId="12" borderId="48" xfId="0" applyNumberFormat="1" applyFont="1" applyFill="1" applyBorder="1" applyAlignment="1" applyProtection="1">
      <alignment vertical="center"/>
    </xf>
    <xf numFmtId="9" fontId="7" fillId="19" borderId="0" xfId="0" applyNumberFormat="1" applyFont="1" applyFill="1" applyBorder="1" applyAlignment="1" applyProtection="1">
      <alignment vertical="center"/>
    </xf>
    <xf numFmtId="0" fontId="7" fillId="5" borderId="0" xfId="0" applyFont="1" applyFill="1" applyBorder="1" applyAlignment="1" applyProtection="1">
      <alignment vertical="center"/>
    </xf>
    <xf numFmtId="165" fontId="65" fillId="12" borderId="5" xfId="0" applyNumberFormat="1" applyFont="1" applyFill="1" applyBorder="1" applyAlignment="1" applyProtection="1">
      <alignment horizontal="right" vertical="center"/>
    </xf>
    <xf numFmtId="165" fontId="65" fillId="0" borderId="0" xfId="0" applyNumberFormat="1" applyFont="1" applyFill="1" applyBorder="1" applyAlignment="1" applyProtection="1">
      <alignment horizontal="right" vertical="center"/>
    </xf>
    <xf numFmtId="165" fontId="65" fillId="0" borderId="5" xfId="0" applyNumberFormat="1" applyFont="1" applyFill="1" applyBorder="1" applyAlignment="1" applyProtection="1">
      <alignment horizontal="right" vertical="center"/>
    </xf>
    <xf numFmtId="4" fontId="65" fillId="12" borderId="0" xfId="0" applyNumberFormat="1" applyFont="1" applyFill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27" fillId="0" borderId="0" xfId="0" applyFont="1" applyAlignment="1" applyProtection="1">
      <alignment vertical="top" wrapText="1"/>
    </xf>
    <xf numFmtId="0" fontId="7" fillId="19" borderId="0" xfId="0" applyFont="1" applyFill="1" applyAlignment="1" applyProtection="1">
      <alignment vertical="center"/>
    </xf>
    <xf numFmtId="0" fontId="7" fillId="19" borderId="0" xfId="0" applyFont="1" applyFill="1" applyAlignment="1" applyProtection="1">
      <alignment horizontal="right" vertical="center"/>
    </xf>
    <xf numFmtId="4" fontId="11" fillId="19" borderId="0" xfId="0" applyNumberFormat="1" applyFont="1" applyFill="1" applyAlignment="1" applyProtection="1">
      <alignment horizontal="right" vertical="center"/>
    </xf>
    <xf numFmtId="165" fontId="46" fillId="0" borderId="0" xfId="0" applyNumberFormat="1" applyFont="1" applyAlignment="1" applyProtection="1">
      <alignment vertical="top" wrapText="1"/>
    </xf>
    <xf numFmtId="0" fontId="7" fillId="0" borderId="0" xfId="0" applyFont="1" applyAlignment="1" applyProtection="1">
      <alignment horizontal="right" vertical="center"/>
    </xf>
    <xf numFmtId="4" fontId="7" fillId="0" borderId="0" xfId="0" applyNumberFormat="1" applyFont="1" applyAlignment="1" applyProtection="1">
      <alignment horizontal="right" vertical="center"/>
    </xf>
    <xf numFmtId="4" fontId="7" fillId="0" borderId="0" xfId="0" applyNumberFormat="1" applyFont="1" applyAlignment="1" applyProtection="1">
      <alignment vertical="center"/>
    </xf>
    <xf numFmtId="0" fontId="11" fillId="19" borderId="0" xfId="0" applyFont="1" applyFill="1" applyAlignment="1" applyProtection="1">
      <alignment horizontal="right" vertical="center"/>
    </xf>
    <xf numFmtId="4" fontId="11" fillId="19" borderId="0" xfId="0" applyNumberFormat="1" applyFont="1" applyFill="1" applyAlignment="1" applyProtection="1">
      <alignment vertical="center"/>
    </xf>
    <xf numFmtId="0" fontId="11" fillId="19" borderId="0" xfId="0" applyFont="1" applyFill="1" applyAlignment="1" applyProtection="1">
      <alignment vertical="center"/>
    </xf>
    <xf numFmtId="10" fontId="11" fillId="19" borderId="0" xfId="0" applyNumberFormat="1" applyFont="1" applyFill="1" applyAlignment="1" applyProtection="1">
      <alignment vertical="center"/>
    </xf>
    <xf numFmtId="0" fontId="39" fillId="19" borderId="44" xfId="6" applyFont="1" applyFill="1" applyBorder="1" applyAlignment="1" applyProtection="1">
      <alignment horizontal="left"/>
      <protection locked="0" hidden="1"/>
    </xf>
    <xf numFmtId="0" fontId="39" fillId="19" borderId="75" xfId="6" applyFont="1" applyFill="1" applyBorder="1" applyAlignment="1" applyProtection="1">
      <alignment horizontal="left"/>
      <protection locked="0" hidden="1"/>
    </xf>
    <xf numFmtId="4" fontId="69" fillId="22" borderId="41" xfId="0" applyNumberFormat="1" applyFont="1" applyFill="1" applyBorder="1" applyAlignment="1" applyProtection="1">
      <alignment horizontal="center"/>
    </xf>
    <xf numFmtId="2" fontId="5" fillId="5" borderId="91" xfId="0" applyNumberFormat="1" applyFont="1" applyFill="1" applyBorder="1" applyAlignment="1" applyProtection="1">
      <alignment horizontal="center"/>
    </xf>
    <xf numFmtId="2" fontId="5" fillId="5" borderId="107" xfId="0" applyNumberFormat="1" applyFont="1" applyFill="1" applyBorder="1" applyAlignment="1" applyProtection="1">
      <alignment horizontal="center"/>
    </xf>
    <xf numFmtId="0" fontId="69" fillId="22" borderId="91" xfId="0" applyFont="1" applyFill="1" applyBorder="1" applyAlignment="1" applyProtection="1">
      <alignment horizontal="center" wrapText="1"/>
    </xf>
    <xf numFmtId="0" fontId="69" fillId="12" borderId="0" xfId="0" applyFont="1" applyFill="1" applyAlignment="1" applyProtection="1">
      <alignment horizontal="center" vertical="center"/>
    </xf>
    <xf numFmtId="0" fontId="69" fillId="12" borderId="137" xfId="0" applyFont="1" applyFill="1" applyBorder="1" applyAlignment="1" applyProtection="1">
      <alignment horizontal="center" vertical="center"/>
    </xf>
    <xf numFmtId="0" fontId="69" fillId="12" borderId="0" xfId="0" applyFont="1" applyFill="1" applyBorder="1" applyAlignment="1" applyProtection="1">
      <alignment horizontal="center" vertical="center"/>
    </xf>
    <xf numFmtId="0" fontId="69" fillId="12" borderId="91" xfId="0" applyFont="1" applyFill="1" applyBorder="1" applyAlignment="1" applyProtection="1">
      <alignment horizontal="center" vertical="center"/>
    </xf>
    <xf numFmtId="0" fontId="76" fillId="0" borderId="75" xfId="0" applyFont="1" applyBorder="1" applyAlignment="1" applyProtection="1">
      <alignment vertical="center"/>
      <protection locked="0"/>
    </xf>
    <xf numFmtId="9" fontId="76" fillId="0" borderId="75" xfId="0" applyNumberFormat="1" applyFont="1" applyBorder="1" applyAlignment="1" applyProtection="1">
      <alignment horizontal="center" vertical="center"/>
      <protection locked="0"/>
    </xf>
    <xf numFmtId="165" fontId="5" fillId="0" borderId="0" xfId="0" applyNumberFormat="1" applyFont="1" applyProtection="1"/>
    <xf numFmtId="0" fontId="39" fillId="19" borderId="75" xfId="6" applyFont="1" applyFill="1" applyBorder="1" applyAlignment="1" applyProtection="1">
      <alignment horizontal="left" wrapText="1"/>
      <protection locked="0" hidden="1"/>
    </xf>
    <xf numFmtId="0" fontId="37" fillId="3" borderId="75" xfId="0" applyFont="1" applyFill="1" applyBorder="1" applyProtection="1">
      <protection locked="0"/>
    </xf>
    <xf numFmtId="0" fontId="5" fillId="3" borderId="75" xfId="0" applyFont="1" applyFill="1" applyBorder="1" applyProtection="1">
      <protection locked="0"/>
    </xf>
    <xf numFmtId="167" fontId="5" fillId="3" borderId="75" xfId="0" applyNumberFormat="1" applyFont="1" applyFill="1" applyBorder="1" applyProtection="1">
      <protection locked="0"/>
    </xf>
    <xf numFmtId="0" fontId="5" fillId="3" borderId="81" xfId="0" applyFont="1" applyFill="1" applyBorder="1" applyProtection="1"/>
    <xf numFmtId="0" fontId="5" fillId="3" borderId="75" xfId="0" applyFont="1" applyFill="1" applyBorder="1" applyProtection="1"/>
    <xf numFmtId="0" fontId="37" fillId="23" borderId="75" xfId="0" applyFont="1" applyFill="1" applyBorder="1" applyProtection="1">
      <protection locked="0"/>
    </xf>
    <xf numFmtId="0" fontId="5" fillId="23" borderId="75" xfId="0" applyFont="1" applyFill="1" applyBorder="1" applyProtection="1">
      <protection locked="0"/>
    </xf>
    <xf numFmtId="167" fontId="5" fillId="23" borderId="75" xfId="0" applyNumberFormat="1" applyFont="1" applyFill="1" applyBorder="1" applyProtection="1">
      <protection locked="0"/>
    </xf>
    <xf numFmtId="0" fontId="5" fillId="23" borderId="81" xfId="0" applyFont="1" applyFill="1" applyBorder="1" applyProtection="1"/>
    <xf numFmtId="0" fontId="5" fillId="23" borderId="75" xfId="0" applyFont="1" applyFill="1" applyBorder="1" applyProtection="1"/>
    <xf numFmtId="0" fontId="5" fillId="21" borderId="81" xfId="0" applyFont="1" applyFill="1" applyBorder="1" applyProtection="1">
      <protection locked="0"/>
    </xf>
    <xf numFmtId="0" fontId="5" fillId="21" borderId="79" xfId="0" applyFont="1" applyFill="1" applyBorder="1" applyProtection="1">
      <protection locked="0"/>
    </xf>
    <xf numFmtId="0" fontId="5" fillId="21" borderId="81" xfId="0" applyFont="1" applyFill="1" applyBorder="1" applyProtection="1"/>
    <xf numFmtId="0" fontId="5" fillId="21" borderId="75" xfId="0" applyFont="1" applyFill="1" applyBorder="1" applyProtection="1"/>
    <xf numFmtId="0" fontId="5" fillId="21" borderId="75" xfId="0" applyFont="1" applyFill="1" applyBorder="1" applyProtection="1">
      <protection locked="0"/>
    </xf>
    <xf numFmtId="2" fontId="5" fillId="21" borderId="75" xfId="0" applyNumberFormat="1" applyFont="1" applyFill="1" applyBorder="1" applyProtection="1">
      <protection locked="0"/>
    </xf>
    <xf numFmtId="167" fontId="5" fillId="21" borderId="75" xfId="0" applyNumberFormat="1" applyFont="1" applyFill="1" applyBorder="1" applyProtection="1">
      <protection locked="0"/>
    </xf>
    <xf numFmtId="0" fontId="37" fillId="24" borderId="75" xfId="0" applyFont="1" applyFill="1" applyBorder="1" applyProtection="1">
      <protection locked="0"/>
    </xf>
    <xf numFmtId="0" fontId="5" fillId="24" borderId="75" xfId="0" applyFont="1" applyFill="1" applyBorder="1" applyProtection="1">
      <protection locked="0"/>
    </xf>
    <xf numFmtId="0" fontId="5" fillId="24" borderId="81" xfId="0" applyFont="1" applyFill="1" applyBorder="1" applyProtection="1"/>
    <xf numFmtId="0" fontId="5" fillId="24" borderId="75" xfId="0" applyFont="1" applyFill="1" applyBorder="1" applyProtection="1"/>
    <xf numFmtId="167" fontId="5" fillId="24" borderId="75" xfId="0" applyNumberFormat="1" applyFont="1" applyFill="1" applyBorder="1" applyProtection="1">
      <protection locked="0"/>
    </xf>
    <xf numFmtId="0" fontId="37" fillId="25" borderId="75" xfId="0" applyFont="1" applyFill="1" applyBorder="1" applyProtection="1">
      <protection locked="0"/>
    </xf>
    <xf numFmtId="0" fontId="5" fillId="25" borderId="75" xfId="0" applyFont="1" applyFill="1" applyBorder="1" applyProtection="1">
      <protection locked="0"/>
    </xf>
    <xf numFmtId="167" fontId="5" fillId="25" borderId="75" xfId="0" applyNumberFormat="1" applyFont="1" applyFill="1" applyBorder="1" applyProtection="1">
      <protection locked="0"/>
    </xf>
    <xf numFmtId="0" fontId="5" fillId="25" borderId="81" xfId="0" applyFont="1" applyFill="1" applyBorder="1" applyProtection="1"/>
    <xf numFmtId="0" fontId="5" fillId="25" borderId="75" xfId="0" applyFont="1" applyFill="1" applyBorder="1" applyProtection="1"/>
    <xf numFmtId="0" fontId="37" fillId="26" borderId="75" xfId="0" applyFont="1" applyFill="1" applyBorder="1" applyProtection="1">
      <protection locked="0"/>
    </xf>
    <xf numFmtId="0" fontId="5" fillId="26" borderId="75" xfId="0" applyFont="1" applyFill="1" applyBorder="1" applyProtection="1">
      <protection locked="0"/>
    </xf>
    <xf numFmtId="167" fontId="5" fillId="26" borderId="75" xfId="0" applyNumberFormat="1" applyFont="1" applyFill="1" applyBorder="1" applyProtection="1">
      <protection locked="0"/>
    </xf>
    <xf numFmtId="0" fontId="5" fillId="26" borderId="81" xfId="0" applyFont="1" applyFill="1" applyBorder="1" applyProtection="1"/>
    <xf numFmtId="0" fontId="5" fillId="26" borderId="75" xfId="0" applyFont="1" applyFill="1" applyBorder="1" applyProtection="1"/>
    <xf numFmtId="0" fontId="37" fillId="27" borderId="75" xfId="0" applyFont="1" applyFill="1" applyBorder="1" applyProtection="1">
      <protection locked="0"/>
    </xf>
    <xf numFmtId="0" fontId="5" fillId="27" borderId="75" xfId="0" applyFont="1" applyFill="1" applyBorder="1" applyProtection="1">
      <protection locked="0"/>
    </xf>
    <xf numFmtId="167" fontId="5" fillId="27" borderId="75" xfId="0" applyNumberFormat="1" applyFont="1" applyFill="1" applyBorder="1" applyProtection="1">
      <protection locked="0"/>
    </xf>
    <xf numFmtId="0" fontId="5" fillId="27" borderId="81" xfId="0" applyFont="1" applyFill="1" applyBorder="1" applyProtection="1"/>
    <xf numFmtId="0" fontId="5" fillId="27" borderId="75" xfId="0" applyFont="1" applyFill="1" applyBorder="1" applyProtection="1"/>
    <xf numFmtId="0" fontId="37" fillId="8" borderId="75" xfId="0" applyFont="1" applyFill="1" applyBorder="1" applyProtection="1">
      <protection locked="0"/>
    </xf>
    <xf numFmtId="0" fontId="5" fillId="8" borderId="75" xfId="0" applyFont="1" applyFill="1" applyBorder="1" applyProtection="1">
      <protection locked="0"/>
    </xf>
    <xf numFmtId="167" fontId="5" fillId="8" borderId="75" xfId="0" applyNumberFormat="1" applyFont="1" applyFill="1" applyBorder="1" applyProtection="1">
      <protection locked="0"/>
    </xf>
    <xf numFmtId="0" fontId="5" fillId="8" borderId="81" xfId="0" applyFont="1" applyFill="1" applyBorder="1" applyProtection="1"/>
    <xf numFmtId="0" fontId="5" fillId="8" borderId="75" xfId="0" applyFont="1" applyFill="1" applyBorder="1" applyProtection="1"/>
    <xf numFmtId="0" fontId="37" fillId="28" borderId="75" xfId="0" applyFont="1" applyFill="1" applyBorder="1" applyProtection="1">
      <protection locked="0"/>
    </xf>
    <xf numFmtId="0" fontId="5" fillId="28" borderId="75" xfId="0" applyFont="1" applyFill="1" applyBorder="1" applyProtection="1">
      <protection locked="0"/>
    </xf>
    <xf numFmtId="167" fontId="5" fillId="28" borderId="75" xfId="0" applyNumberFormat="1" applyFont="1" applyFill="1" applyBorder="1" applyProtection="1">
      <protection locked="0"/>
    </xf>
    <xf numFmtId="0" fontId="5" fillId="28" borderId="81" xfId="0" applyFont="1" applyFill="1" applyBorder="1" applyProtection="1"/>
    <xf numFmtId="0" fontId="5" fillId="28" borderId="75" xfId="0" applyFont="1" applyFill="1" applyBorder="1" applyProtection="1"/>
    <xf numFmtId="0" fontId="37" fillId="4" borderId="75" xfId="0" applyFont="1" applyFill="1" applyBorder="1" applyProtection="1">
      <protection locked="0"/>
    </xf>
    <xf numFmtId="0" fontId="5" fillId="4" borderId="75" xfId="0" applyFont="1" applyFill="1" applyBorder="1" applyProtection="1">
      <protection locked="0"/>
    </xf>
    <xf numFmtId="167" fontId="5" fillId="4" borderId="75" xfId="0" applyNumberFormat="1" applyFont="1" applyFill="1" applyBorder="1" applyProtection="1">
      <protection locked="0"/>
    </xf>
    <xf numFmtId="0" fontId="5" fillId="4" borderId="81" xfId="0" applyFont="1" applyFill="1" applyBorder="1" applyProtection="1"/>
    <xf numFmtId="0" fontId="5" fillId="4" borderId="75" xfId="0" applyFont="1" applyFill="1" applyBorder="1" applyProtection="1"/>
    <xf numFmtId="0" fontId="37" fillId="29" borderId="75" xfId="0" applyFont="1" applyFill="1" applyBorder="1" applyProtection="1">
      <protection locked="0"/>
    </xf>
    <xf numFmtId="0" fontId="5" fillId="29" borderId="75" xfId="0" applyFont="1" applyFill="1" applyBorder="1" applyProtection="1">
      <protection locked="0"/>
    </xf>
    <xf numFmtId="167" fontId="5" fillId="29" borderId="75" xfId="0" applyNumberFormat="1" applyFont="1" applyFill="1" applyBorder="1" applyProtection="1">
      <protection locked="0"/>
    </xf>
    <xf numFmtId="0" fontId="5" fillId="29" borderId="81" xfId="0" applyFont="1" applyFill="1" applyBorder="1" applyProtection="1"/>
    <xf numFmtId="0" fontId="5" fillId="29" borderId="75" xfId="0" applyFont="1" applyFill="1" applyBorder="1" applyProtection="1"/>
    <xf numFmtId="0" fontId="1" fillId="0" borderId="1" xfId="10" applyBorder="1" applyAlignment="1">
      <alignment vertical="center"/>
    </xf>
    <xf numFmtId="0" fontId="39" fillId="0" borderId="1" xfId="10" applyFont="1" applyBorder="1" applyAlignment="1">
      <alignment horizontal="center"/>
    </xf>
    <xf numFmtId="0" fontId="39" fillId="0" borderId="1" xfId="10" applyFont="1" applyBorder="1"/>
    <xf numFmtId="0" fontId="45" fillId="0" borderId="1" xfId="0" applyFont="1" applyBorder="1" applyAlignment="1" applyProtection="1">
      <alignment vertical="center"/>
      <protection locked="0"/>
    </xf>
    <xf numFmtId="0" fontId="1" fillId="0" borderId="1" xfId="10" applyBorder="1"/>
    <xf numFmtId="0" fontId="78" fillId="0" borderId="1" xfId="10" applyFont="1" applyBorder="1" applyAlignment="1">
      <alignment vertical="center"/>
    </xf>
    <xf numFmtId="0" fontId="6" fillId="5" borderId="1" xfId="8" applyFont="1" applyFill="1" applyBorder="1" applyAlignment="1" applyProtection="1">
      <alignment horizontal="center" vertical="center" wrapText="1"/>
    </xf>
    <xf numFmtId="0" fontId="81" fillId="0" borderId="1" xfId="10" applyFont="1" applyBorder="1" applyAlignment="1" applyProtection="1">
      <alignment vertical="top" wrapText="1"/>
      <protection hidden="1"/>
    </xf>
    <xf numFmtId="0" fontId="39" fillId="0" borderId="1" xfId="10" applyFont="1" applyBorder="1" applyAlignment="1">
      <alignment vertical="center"/>
    </xf>
    <xf numFmtId="0" fontId="40" fillId="11" borderId="14" xfId="10" applyFont="1" applyFill="1" applyBorder="1" applyAlignment="1">
      <alignment horizontal="center" vertical="center"/>
    </xf>
    <xf numFmtId="10" fontId="39" fillId="0" borderId="14" xfId="12" applyNumberFormat="1" applyFont="1" applyBorder="1" applyAlignment="1" applyProtection="1">
      <alignment horizontal="center" vertical="center"/>
    </xf>
    <xf numFmtId="165" fontId="39" fillId="0" borderId="14" xfId="10" applyNumberFormat="1" applyFont="1" applyBorder="1" applyAlignment="1">
      <alignment vertical="center"/>
    </xf>
    <xf numFmtId="0" fontId="39" fillId="31" borderId="14" xfId="10" applyFont="1" applyFill="1" applyBorder="1" applyAlignment="1">
      <alignment vertical="center"/>
    </xf>
    <xf numFmtId="0" fontId="1" fillId="0" borderId="2" xfId="10" applyBorder="1" applyAlignment="1">
      <alignment vertical="center"/>
    </xf>
    <xf numFmtId="0" fontId="39" fillId="32" borderId="14" xfId="10" applyFont="1" applyFill="1" applyBorder="1" applyAlignment="1">
      <alignment vertical="center"/>
    </xf>
    <xf numFmtId="0" fontId="39" fillId="0" borderId="14" xfId="10" applyFont="1" applyBorder="1" applyAlignment="1">
      <alignment vertical="center"/>
    </xf>
    <xf numFmtId="44" fontId="39" fillId="0" borderId="1" xfId="11" applyFont="1" applyBorder="1" applyProtection="1"/>
    <xf numFmtId="165" fontId="39" fillId="0" borderId="1" xfId="10" applyNumberFormat="1" applyFont="1" applyBorder="1"/>
    <xf numFmtId="4" fontId="5" fillId="5" borderId="1" xfId="10" applyNumberFormat="1" applyFont="1" applyFill="1" applyBorder="1"/>
    <xf numFmtId="0" fontId="5" fillId="5" borderId="1" xfId="10" applyFont="1" applyFill="1" applyBorder="1"/>
    <xf numFmtId="0" fontId="37" fillId="5" borderId="1" xfId="10" applyFont="1" applyFill="1" applyBorder="1"/>
    <xf numFmtId="0" fontId="5" fillId="5" borderId="1" xfId="10" applyFont="1" applyFill="1" applyBorder="1" applyAlignment="1">
      <alignment horizontal="right"/>
    </xf>
    <xf numFmtId="4" fontId="39" fillId="0" borderId="1" xfId="10" applyNumberFormat="1" applyFont="1" applyBorder="1"/>
    <xf numFmtId="0" fontId="39" fillId="0" borderId="1" xfId="10" applyFont="1" applyBorder="1" applyAlignment="1">
      <alignment horizontal="left"/>
    </xf>
    <xf numFmtId="0" fontId="38" fillId="0" borderId="1" xfId="8" applyBorder="1" applyAlignment="1" applyProtection="1">
      <alignment horizontal="left"/>
    </xf>
    <xf numFmtId="0" fontId="39" fillId="0" borderId="2" xfId="10" applyFont="1" applyBorder="1" applyAlignment="1">
      <alignment vertical="center"/>
    </xf>
    <xf numFmtId="0" fontId="39" fillId="0" borderId="179" xfId="10" applyFont="1" applyBorder="1"/>
    <xf numFmtId="0" fontId="39" fillId="0" borderId="179" xfId="10" applyFont="1" applyBorder="1" applyAlignment="1">
      <alignment vertical="center"/>
    </xf>
    <xf numFmtId="0" fontId="39" fillId="0" borderId="3" xfId="10" applyFont="1" applyBorder="1"/>
    <xf numFmtId="0" fontId="39" fillId="0" borderId="3" xfId="10" applyFont="1" applyBorder="1" applyAlignment="1">
      <alignment horizontal="center"/>
    </xf>
    <xf numFmtId="0" fontId="1" fillId="0" borderId="6" xfId="10" applyBorder="1" applyAlignment="1">
      <alignment vertical="center"/>
    </xf>
    <xf numFmtId="0" fontId="39" fillId="0" borderId="6" xfId="10" applyFont="1" applyBorder="1" applyAlignment="1">
      <alignment horizontal="center"/>
    </xf>
    <xf numFmtId="0" fontId="39" fillId="0" borderId="6" xfId="10" applyFont="1" applyBorder="1"/>
    <xf numFmtId="0" fontId="7" fillId="5" borderId="6" xfId="10" applyFont="1" applyFill="1" applyBorder="1"/>
    <xf numFmtId="4" fontId="5" fillId="5" borderId="6" xfId="10" applyNumberFormat="1" applyFont="1" applyFill="1" applyBorder="1"/>
    <xf numFmtId="0" fontId="39" fillId="5" borderId="74" xfId="10" applyFont="1" applyFill="1" applyBorder="1" applyAlignment="1">
      <alignment horizontal="center" vertical="center"/>
    </xf>
    <xf numFmtId="0" fontId="39" fillId="10" borderId="74" xfId="10" applyFont="1" applyFill="1" applyBorder="1" applyAlignment="1" applyProtection="1">
      <alignment horizontal="left" vertical="center"/>
      <protection locked="0"/>
    </xf>
    <xf numFmtId="0" fontId="39" fillId="5" borderId="74" xfId="10" applyFont="1" applyFill="1" applyBorder="1" applyAlignment="1">
      <alignment vertical="center"/>
    </xf>
    <xf numFmtId="4" fontId="39" fillId="10" borderId="74" xfId="10" applyNumberFormat="1" applyFont="1" applyFill="1" applyBorder="1" applyAlignment="1" applyProtection="1">
      <alignment vertical="center"/>
      <protection locked="0"/>
    </xf>
    <xf numFmtId="10" fontId="39" fillId="10" borderId="74" xfId="12" applyNumberFormat="1" applyFont="1" applyFill="1" applyBorder="1" applyAlignment="1" applyProtection="1">
      <alignment horizontal="center" vertical="center"/>
      <protection locked="0"/>
    </xf>
    <xf numFmtId="171" fontId="39" fillId="10" borderId="74" xfId="10" applyNumberFormat="1" applyFont="1" applyFill="1" applyBorder="1" applyAlignment="1" applyProtection="1">
      <alignment horizontal="center" vertical="center"/>
      <protection locked="0"/>
    </xf>
    <xf numFmtId="44" fontId="39" fillId="30" borderId="74" xfId="11" applyFont="1" applyFill="1" applyBorder="1" applyAlignment="1" applyProtection="1">
      <alignment horizontal="center" vertical="center"/>
    </xf>
    <xf numFmtId="10" fontId="39" fillId="30" borderId="74" xfId="12" applyNumberFormat="1" applyFont="1" applyFill="1" applyBorder="1" applyAlignment="1" applyProtection="1">
      <alignment horizontal="center" vertical="center"/>
    </xf>
    <xf numFmtId="44" fontId="39" fillId="30" borderId="74" xfId="11" applyFont="1" applyFill="1" applyBorder="1" applyAlignment="1" applyProtection="1">
      <alignment vertical="center"/>
    </xf>
    <xf numFmtId="44" fontId="39" fillId="0" borderId="74" xfId="11" applyFont="1" applyBorder="1" applyAlignment="1" applyProtection="1">
      <alignment vertical="center"/>
    </xf>
    <xf numFmtId="44" fontId="39" fillId="5" borderId="74" xfId="11" applyFont="1" applyFill="1" applyBorder="1" applyAlignment="1" applyProtection="1">
      <alignment vertical="center"/>
    </xf>
    <xf numFmtId="44" fontId="39" fillId="5" borderId="93" xfId="11" applyFont="1" applyFill="1" applyBorder="1" applyAlignment="1" applyProtection="1">
      <alignment vertical="center"/>
    </xf>
    <xf numFmtId="44" fontId="39" fillId="0" borderId="92" xfId="2" applyFont="1" applyBorder="1" applyAlignment="1">
      <alignment vertical="center"/>
    </xf>
    <xf numFmtId="0" fontId="1" fillId="0" borderId="92" xfId="10" applyBorder="1" applyAlignment="1">
      <alignment vertical="center"/>
    </xf>
    <xf numFmtId="0" fontId="1" fillId="0" borderId="94" xfId="10" applyBorder="1" applyAlignment="1">
      <alignment vertical="center"/>
    </xf>
    <xf numFmtId="44" fontId="44" fillId="12" borderId="95" xfId="11" applyFont="1" applyFill="1" applyBorder="1" applyAlignment="1" applyProtection="1">
      <alignment vertical="center"/>
    </xf>
    <xf numFmtId="9" fontId="44" fillId="12" borderId="95" xfId="12" applyFont="1" applyFill="1" applyBorder="1" applyAlignment="1" applyProtection="1">
      <alignment vertical="center"/>
    </xf>
    <xf numFmtId="44" fontId="44" fillId="12" borderId="96" xfId="11" applyFont="1" applyFill="1" applyBorder="1" applyAlignment="1" applyProtection="1">
      <alignment vertical="center"/>
    </xf>
    <xf numFmtId="44" fontId="39" fillId="0" borderId="180" xfId="2" applyFont="1" applyBorder="1" applyAlignment="1">
      <alignment horizontal="right" vertical="center"/>
    </xf>
    <xf numFmtId="0" fontId="39" fillId="5" borderId="181" xfId="10" applyFont="1" applyFill="1" applyBorder="1" applyAlignment="1">
      <alignment horizontal="center" vertical="center"/>
    </xf>
    <xf numFmtId="0" fontId="39" fillId="10" borderId="181" xfId="10" applyFont="1" applyFill="1" applyBorder="1" applyAlignment="1" applyProtection="1">
      <alignment horizontal="left" vertical="center"/>
      <protection locked="0"/>
    </xf>
    <xf numFmtId="0" fontId="39" fillId="5" borderId="181" xfId="10" applyFont="1" applyFill="1" applyBorder="1" applyAlignment="1">
      <alignment vertical="center"/>
    </xf>
    <xf numFmtId="4" fontId="39" fillId="10" borderId="181" xfId="10" applyNumberFormat="1" applyFont="1" applyFill="1" applyBorder="1" applyAlignment="1" applyProtection="1">
      <alignment vertical="center"/>
      <protection locked="0"/>
    </xf>
    <xf numFmtId="10" fontId="39" fillId="10" borderId="181" xfId="12" applyNumberFormat="1" applyFont="1" applyFill="1" applyBorder="1" applyAlignment="1" applyProtection="1">
      <alignment horizontal="center" vertical="center"/>
      <protection locked="0"/>
    </xf>
    <xf numFmtId="171" fontId="39" fillId="10" borderId="181" xfId="10" applyNumberFormat="1" applyFont="1" applyFill="1" applyBorder="1" applyAlignment="1" applyProtection="1">
      <alignment horizontal="center" vertical="center"/>
      <protection locked="0"/>
    </xf>
    <xf numFmtId="44" fontId="39" fillId="30" borderId="181" xfId="11" applyFont="1" applyFill="1" applyBorder="1" applyAlignment="1" applyProtection="1">
      <alignment horizontal="center" vertical="center"/>
    </xf>
    <xf numFmtId="10" fontId="39" fillId="30" borderId="181" xfId="12" applyNumberFormat="1" applyFont="1" applyFill="1" applyBorder="1" applyAlignment="1" applyProtection="1">
      <alignment horizontal="center" vertical="center"/>
    </xf>
    <xf numFmtId="44" fontId="39" fillId="30" borderId="181" xfId="11" applyFont="1" applyFill="1" applyBorder="1" applyAlignment="1" applyProtection="1">
      <alignment vertical="center"/>
    </xf>
    <xf numFmtId="44" fontId="39" fillId="0" borderId="181" xfId="11" applyFont="1" applyBorder="1" applyAlignment="1" applyProtection="1">
      <alignment vertical="center"/>
    </xf>
    <xf numFmtId="44" fontId="39" fillId="5" borderId="181" xfId="11" applyFont="1" applyFill="1" applyBorder="1" applyAlignment="1" applyProtection="1">
      <alignment vertical="center"/>
    </xf>
    <xf numFmtId="44" fontId="39" fillId="5" borderId="182" xfId="11" applyFont="1" applyFill="1" applyBorder="1" applyAlignment="1" applyProtection="1">
      <alignment vertical="center"/>
    </xf>
    <xf numFmtId="0" fontId="40" fillId="8" borderId="175" xfId="10" applyFont="1" applyFill="1" applyBorder="1" applyAlignment="1" applyProtection="1">
      <alignment horizontal="center" vertical="center" wrapText="1"/>
      <protection hidden="1"/>
    </xf>
    <xf numFmtId="0" fontId="40" fillId="8" borderId="176" xfId="10" applyFont="1" applyFill="1" applyBorder="1" applyAlignment="1" applyProtection="1">
      <alignment horizontal="center" vertical="center" wrapText="1"/>
      <protection hidden="1"/>
    </xf>
    <xf numFmtId="0" fontId="40" fillId="8" borderId="14" xfId="10" applyFont="1" applyFill="1" applyBorder="1" applyAlignment="1" applyProtection="1">
      <alignment horizontal="center" vertical="center" wrapText="1"/>
      <protection hidden="1"/>
    </xf>
    <xf numFmtId="0" fontId="39" fillId="0" borderId="2" xfId="10" applyFont="1" applyBorder="1"/>
    <xf numFmtId="0" fontId="39" fillId="0" borderId="3" xfId="10" applyFont="1" applyBorder="1" applyAlignment="1">
      <alignment vertical="center"/>
    </xf>
    <xf numFmtId="0" fontId="82" fillId="11" borderId="183" xfId="10" applyFont="1" applyFill="1" applyBorder="1" applyAlignment="1">
      <alignment horizontal="center" vertical="center" wrapText="1"/>
    </xf>
    <xf numFmtId="0" fontId="83" fillId="0" borderId="183" xfId="10" applyFont="1" applyBorder="1" applyAlignment="1">
      <alignment horizontal="center" vertical="center" wrapText="1"/>
    </xf>
    <xf numFmtId="0" fontId="83" fillId="0" borderId="184" xfId="10" applyFont="1" applyBorder="1" applyAlignment="1">
      <alignment horizontal="center" vertical="center"/>
    </xf>
    <xf numFmtId="2" fontId="83" fillId="0" borderId="184" xfId="10" applyNumberFormat="1" applyFont="1" applyBorder="1" applyAlignment="1">
      <alignment horizontal="center" vertical="center"/>
    </xf>
    <xf numFmtId="0" fontId="83" fillId="0" borderId="185" xfId="10" applyFont="1" applyBorder="1" applyAlignment="1">
      <alignment horizontal="center" vertical="center"/>
    </xf>
    <xf numFmtId="2" fontId="83" fillId="0" borderId="185" xfId="10" applyNumberFormat="1" applyFont="1" applyBorder="1" applyAlignment="1">
      <alignment horizontal="center" vertical="center"/>
    </xf>
    <xf numFmtId="0" fontId="39" fillId="0" borderId="186" xfId="10" applyFont="1" applyBorder="1" applyAlignment="1">
      <alignment vertical="center"/>
    </xf>
    <xf numFmtId="0" fontId="39" fillId="0" borderId="186" xfId="10" applyFont="1" applyBorder="1"/>
    <xf numFmtId="0" fontId="44" fillId="14" borderId="0" xfId="0" applyFont="1" applyFill="1" applyAlignment="1">
      <alignment horizontal="center"/>
    </xf>
    <xf numFmtId="0" fontId="39" fillId="0" borderId="15" xfId="6" applyFont="1" applyBorder="1" applyAlignment="1" applyProtection="1">
      <alignment horizontal="left"/>
      <protection hidden="1"/>
    </xf>
    <xf numFmtId="0" fontId="39" fillId="0" borderId="16" xfId="6" applyFont="1" applyBorder="1" applyAlignment="1" applyProtection="1">
      <alignment horizontal="left"/>
      <protection hidden="1"/>
    </xf>
    <xf numFmtId="0" fontId="39" fillId="0" borderId="17" xfId="6" applyFont="1" applyBorder="1" applyAlignment="1" applyProtection="1">
      <alignment horizontal="left"/>
      <protection hidden="1"/>
    </xf>
    <xf numFmtId="165" fontId="39" fillId="10" borderId="15" xfId="6" applyNumberFormat="1" applyFont="1" applyFill="1" applyBorder="1" applyAlignment="1" applyProtection="1">
      <alignment horizontal="center"/>
      <protection hidden="1"/>
    </xf>
    <xf numFmtId="165" fontId="39" fillId="10" borderId="17" xfId="6" applyNumberFormat="1" applyFont="1" applyFill="1" applyBorder="1" applyAlignment="1" applyProtection="1">
      <alignment horizontal="center"/>
      <protection hidden="1"/>
    </xf>
    <xf numFmtId="0" fontId="39" fillId="0" borderId="0" xfId="6" applyFont="1" applyAlignment="1" applyProtection="1">
      <alignment horizontal="left"/>
      <protection locked="0" hidden="1"/>
    </xf>
    <xf numFmtId="0" fontId="39" fillId="0" borderId="14" xfId="6" applyFont="1" applyBorder="1" applyAlignment="1" applyProtection="1">
      <alignment horizontal="left"/>
      <protection hidden="1"/>
    </xf>
    <xf numFmtId="9" fontId="39" fillId="10" borderId="15" xfId="7" applyFont="1" applyFill="1" applyBorder="1" applyAlignment="1" applyProtection="1">
      <alignment horizontal="center"/>
    </xf>
    <xf numFmtId="9" fontId="39" fillId="10" borderId="17" xfId="7" applyFont="1" applyFill="1" applyBorder="1" applyAlignment="1" applyProtection="1">
      <alignment horizontal="center"/>
    </xf>
    <xf numFmtId="0" fontId="39" fillId="7" borderId="9" xfId="6" applyFont="1" applyFill="1" applyBorder="1" applyAlignment="1" applyProtection="1">
      <alignment horizontal="left" vertical="top" wrapText="1"/>
      <protection hidden="1"/>
    </xf>
    <xf numFmtId="0" fontId="39" fillId="7" borderId="10" xfId="6" applyFont="1" applyFill="1" applyBorder="1" applyAlignment="1" applyProtection="1">
      <alignment horizontal="left" vertical="top" wrapText="1"/>
      <protection hidden="1"/>
    </xf>
    <xf numFmtId="0" fontId="39" fillId="7" borderId="128" xfId="6" applyFont="1" applyFill="1" applyBorder="1" applyAlignment="1" applyProtection="1">
      <alignment horizontal="left" vertical="top" wrapText="1"/>
      <protection hidden="1"/>
    </xf>
    <xf numFmtId="0" fontId="39" fillId="7" borderId="11" xfId="6" applyFont="1" applyFill="1" applyBorder="1" applyAlignment="1" applyProtection="1">
      <alignment horizontal="left" vertical="top" wrapText="1"/>
      <protection hidden="1"/>
    </xf>
    <xf numFmtId="0" fontId="39" fillId="7" borderId="0" xfId="6" applyFont="1" applyFill="1" applyBorder="1" applyAlignment="1" applyProtection="1">
      <alignment horizontal="left" vertical="top" wrapText="1"/>
      <protection hidden="1"/>
    </xf>
    <xf numFmtId="0" fontId="39" fillId="7" borderId="129" xfId="6" applyFont="1" applyFill="1" applyBorder="1" applyAlignment="1" applyProtection="1">
      <alignment horizontal="left" vertical="top" wrapText="1"/>
      <protection hidden="1"/>
    </xf>
    <xf numFmtId="0" fontId="39" fillId="7" borderId="12" xfId="6" applyFont="1" applyFill="1" applyBorder="1" applyAlignment="1" applyProtection="1">
      <alignment horizontal="left" vertical="top" wrapText="1"/>
      <protection hidden="1"/>
    </xf>
    <xf numFmtId="0" fontId="39" fillId="7" borderId="13" xfId="6" applyFont="1" applyFill="1" applyBorder="1" applyAlignment="1" applyProtection="1">
      <alignment horizontal="left" vertical="top" wrapText="1"/>
      <protection hidden="1"/>
    </xf>
    <xf numFmtId="0" fontId="39" fillId="7" borderId="130" xfId="6" applyFont="1" applyFill="1" applyBorder="1" applyAlignment="1" applyProtection="1">
      <alignment horizontal="left" vertical="top" wrapText="1"/>
      <protection hidden="1"/>
    </xf>
    <xf numFmtId="0" fontId="40" fillId="5" borderId="0" xfId="6" applyFont="1" applyFill="1" applyAlignment="1" applyProtection="1">
      <alignment horizontal="center" vertical="center" wrapText="1"/>
      <protection hidden="1"/>
    </xf>
    <xf numFmtId="0" fontId="40" fillId="0" borderId="14" xfId="6" applyFont="1" applyBorder="1" applyAlignment="1" applyProtection="1">
      <alignment horizontal="left" wrapText="1"/>
      <protection hidden="1"/>
    </xf>
    <xf numFmtId="0" fontId="40" fillId="0" borderId="14" xfId="6" applyFont="1" applyBorder="1" applyAlignment="1" applyProtection="1">
      <alignment horizontal="left"/>
      <protection hidden="1"/>
    </xf>
    <xf numFmtId="0" fontId="52" fillId="10" borderId="14" xfId="6" applyFont="1" applyFill="1" applyBorder="1" applyAlignment="1" applyProtection="1">
      <alignment horizontal="left" wrapText="1"/>
      <protection locked="0"/>
    </xf>
    <xf numFmtId="0" fontId="39" fillId="10" borderId="14" xfId="6" applyFont="1" applyFill="1" applyBorder="1" applyAlignment="1" applyProtection="1">
      <alignment horizontal="left"/>
      <protection locked="0"/>
    </xf>
    <xf numFmtId="0" fontId="39" fillId="0" borderId="15" xfId="6" applyFont="1" applyBorder="1" applyAlignment="1" applyProtection="1">
      <alignment horizontal="center" wrapText="1"/>
      <protection locked="0" hidden="1"/>
    </xf>
    <xf numFmtId="0" fontId="39" fillId="0" borderId="16" xfId="6" applyFont="1" applyBorder="1" applyAlignment="1" applyProtection="1">
      <alignment horizontal="center" wrapText="1"/>
      <protection locked="0" hidden="1"/>
    </xf>
    <xf numFmtId="0" fontId="39" fillId="0" borderId="17" xfId="6" applyFont="1" applyBorder="1" applyAlignment="1" applyProtection="1">
      <alignment horizontal="center" wrapText="1"/>
      <protection locked="0" hidden="1"/>
    </xf>
    <xf numFmtId="0" fontId="39" fillId="9" borderId="15" xfId="6" applyFont="1" applyFill="1" applyBorder="1" applyAlignment="1" applyProtection="1">
      <alignment horizontal="center"/>
      <protection locked="0" hidden="1"/>
    </xf>
    <xf numFmtId="0" fontId="39" fillId="9" borderId="17" xfId="6" applyFont="1" applyFill="1" applyBorder="1" applyAlignment="1" applyProtection="1">
      <alignment horizontal="center"/>
      <protection locked="0" hidden="1"/>
    </xf>
    <xf numFmtId="0" fontId="39" fillId="7" borderId="15" xfId="6" applyFont="1" applyFill="1" applyBorder="1" applyAlignment="1" applyProtection="1">
      <alignment horizontal="left" vertical="top" wrapText="1"/>
      <protection hidden="1"/>
    </xf>
    <xf numFmtId="0" fontId="39" fillId="7" borderId="16" xfId="6" applyFont="1" applyFill="1" applyBorder="1" applyAlignment="1" applyProtection="1">
      <alignment horizontal="left" vertical="top" wrapText="1"/>
      <protection hidden="1"/>
    </xf>
    <xf numFmtId="0" fontId="39" fillId="7" borderId="17" xfId="6" applyFont="1" applyFill="1" applyBorder="1" applyAlignment="1" applyProtection="1">
      <alignment horizontal="left" vertical="top" wrapText="1"/>
      <protection hidden="1"/>
    </xf>
    <xf numFmtId="0" fontId="39" fillId="0" borderId="0" xfId="6" applyFont="1" applyFill="1" applyBorder="1" applyAlignment="1" applyProtection="1">
      <alignment horizontal="left"/>
      <protection locked="0" hidden="1"/>
    </xf>
    <xf numFmtId="0" fontId="5" fillId="0" borderId="0" xfId="6" applyFont="1" applyFill="1" applyBorder="1" applyAlignment="1" applyProtection="1">
      <alignment horizontal="left" vertical="center"/>
      <protection locked="0" hidden="1"/>
    </xf>
    <xf numFmtId="0" fontId="5" fillId="0" borderId="0" xfId="6" applyFont="1" applyAlignment="1" applyProtection="1">
      <alignment horizontal="left" vertical="center"/>
      <protection locked="0" hidden="1"/>
    </xf>
    <xf numFmtId="0" fontId="39" fillId="10" borderId="15" xfId="6" applyFont="1" applyFill="1" applyBorder="1" applyAlignment="1" applyProtection="1">
      <alignment horizontal="center"/>
      <protection locked="0" hidden="1"/>
    </xf>
    <xf numFmtId="0" fontId="39" fillId="10" borderId="16" xfId="6" applyFont="1" applyFill="1" applyBorder="1" applyAlignment="1" applyProtection="1">
      <alignment horizontal="center"/>
      <protection locked="0" hidden="1"/>
    </xf>
    <xf numFmtId="0" fontId="41" fillId="0" borderId="0" xfId="6" applyFont="1" applyBorder="1" applyAlignment="1" applyProtection="1">
      <alignment horizontal="center" vertical="center" wrapText="1" shrinkToFit="1"/>
      <protection locked="0" hidden="1"/>
    </xf>
    <xf numFmtId="0" fontId="41" fillId="0" borderId="0" xfId="6" applyFont="1" applyFill="1" applyBorder="1" applyAlignment="1" applyProtection="1">
      <alignment horizontal="center" vertical="center"/>
      <protection locked="0" hidden="1"/>
    </xf>
    <xf numFmtId="0" fontId="39" fillId="7" borderId="9" xfId="6" applyFont="1" applyFill="1" applyBorder="1" applyAlignment="1" applyProtection="1">
      <alignment horizontal="left" vertical="top" wrapText="1"/>
      <protection locked="0" hidden="1"/>
    </xf>
    <xf numFmtId="0" fontId="39" fillId="7" borderId="10" xfId="6" applyFont="1" applyFill="1" applyBorder="1" applyAlignment="1" applyProtection="1">
      <alignment horizontal="left" vertical="top" wrapText="1"/>
      <protection locked="0" hidden="1"/>
    </xf>
    <xf numFmtId="0" fontId="39" fillId="7" borderId="11" xfId="6" applyFont="1" applyFill="1" applyBorder="1" applyAlignment="1" applyProtection="1">
      <alignment horizontal="left" vertical="top" wrapText="1"/>
      <protection locked="0" hidden="1"/>
    </xf>
    <xf numFmtId="0" fontId="39" fillId="7" borderId="0" xfId="6" applyFont="1" applyFill="1" applyAlignment="1" applyProtection="1">
      <alignment horizontal="left" vertical="top" wrapText="1"/>
      <protection locked="0" hidden="1"/>
    </xf>
    <xf numFmtId="0" fontId="39" fillId="7" borderId="12" xfId="6" applyFont="1" applyFill="1" applyBorder="1" applyAlignment="1" applyProtection="1">
      <alignment horizontal="left" vertical="top" wrapText="1"/>
      <protection locked="0" hidden="1"/>
    </xf>
    <xf numFmtId="0" fontId="39" fillId="7" borderId="13" xfId="6" applyFont="1" applyFill="1" applyBorder="1" applyAlignment="1" applyProtection="1">
      <alignment horizontal="left" vertical="top" wrapText="1"/>
      <protection locked="0" hidden="1"/>
    </xf>
    <xf numFmtId="0" fontId="56" fillId="11" borderId="131" xfId="0" applyFont="1" applyFill="1" applyBorder="1" applyAlignment="1" applyProtection="1">
      <alignment horizontal="center" vertical="center" wrapText="1" shrinkToFit="1"/>
      <protection hidden="1"/>
    </xf>
    <xf numFmtId="0" fontId="56" fillId="11" borderId="137" xfId="0" applyFont="1" applyFill="1" applyBorder="1" applyAlignment="1" applyProtection="1">
      <alignment horizontal="center" vertical="center" wrapText="1" shrinkToFit="1"/>
      <protection hidden="1"/>
    </xf>
    <xf numFmtId="0" fontId="56" fillId="11" borderId="132" xfId="0" applyFont="1" applyFill="1" applyBorder="1" applyAlignment="1" applyProtection="1">
      <alignment horizontal="center" vertical="center" wrapText="1" shrinkToFit="1"/>
      <protection hidden="1"/>
    </xf>
    <xf numFmtId="0" fontId="56" fillId="11" borderId="0" xfId="0" applyFont="1" applyFill="1" applyBorder="1" applyAlignment="1" applyProtection="1">
      <alignment horizontal="center" vertical="center" wrapText="1" shrinkToFit="1"/>
      <protection hidden="1"/>
    </xf>
    <xf numFmtId="0" fontId="56" fillId="11" borderId="133" xfId="0" applyFont="1" applyFill="1" applyBorder="1" applyAlignment="1" applyProtection="1">
      <alignment horizontal="center" vertical="center" wrapText="1" shrinkToFit="1"/>
      <protection hidden="1"/>
    </xf>
    <xf numFmtId="0" fontId="56" fillId="11" borderId="91" xfId="0" applyFont="1" applyFill="1" applyBorder="1" applyAlignment="1" applyProtection="1">
      <alignment horizontal="center" vertical="center" wrapText="1" shrinkToFit="1"/>
      <protection hidden="1"/>
    </xf>
    <xf numFmtId="0" fontId="9" fillId="17" borderId="34" xfId="0" applyFont="1" applyFill="1" applyBorder="1" applyAlignment="1" applyProtection="1">
      <alignment horizontal="center" vertical="center"/>
      <protection hidden="1"/>
    </xf>
    <xf numFmtId="0" fontId="9" fillId="17" borderId="35" xfId="0" applyFont="1" applyFill="1" applyBorder="1" applyAlignment="1" applyProtection="1">
      <alignment horizontal="center" vertical="center"/>
      <protection hidden="1"/>
    </xf>
    <xf numFmtId="0" fontId="9" fillId="17" borderId="36" xfId="0" applyFont="1" applyFill="1" applyBorder="1" applyAlignment="1" applyProtection="1">
      <alignment horizontal="center" vertical="center"/>
      <protection hidden="1"/>
    </xf>
    <xf numFmtId="0" fontId="9" fillId="17" borderId="100" xfId="0" applyFont="1" applyFill="1" applyBorder="1" applyAlignment="1" applyProtection="1">
      <alignment horizontal="center" vertical="center" wrapText="1" shrinkToFit="1"/>
      <protection hidden="1"/>
    </xf>
    <xf numFmtId="0" fontId="9" fillId="17" borderId="101" xfId="0" applyFont="1" applyFill="1" applyBorder="1" applyAlignment="1" applyProtection="1">
      <alignment horizontal="center" vertical="center" wrapText="1" shrinkToFit="1"/>
      <protection hidden="1"/>
    </xf>
    <xf numFmtId="0" fontId="9" fillId="17" borderId="22" xfId="0" applyFont="1" applyFill="1" applyBorder="1" applyAlignment="1" applyProtection="1">
      <alignment horizontal="center" vertical="center" wrapText="1" shrinkToFit="1"/>
      <protection hidden="1"/>
    </xf>
    <xf numFmtId="0" fontId="9" fillId="17" borderId="98" xfId="0" applyFont="1" applyFill="1" applyBorder="1" applyAlignment="1" applyProtection="1">
      <alignment horizontal="center" vertical="center" wrapText="1" shrinkToFit="1"/>
      <protection hidden="1"/>
    </xf>
    <xf numFmtId="0" fontId="9" fillId="17" borderId="34" xfId="0" applyFont="1" applyFill="1" applyBorder="1" applyAlignment="1" applyProtection="1">
      <alignment horizontal="center" vertical="center" wrapText="1" shrinkToFit="1"/>
      <protection locked="0" hidden="1"/>
    </xf>
    <xf numFmtId="0" fontId="9" fillId="17" borderId="23" xfId="0" applyFont="1" applyFill="1" applyBorder="1" applyAlignment="1" applyProtection="1">
      <alignment horizontal="center" vertical="center" wrapText="1" shrinkToFit="1"/>
      <protection locked="0" hidden="1"/>
    </xf>
    <xf numFmtId="0" fontId="9" fillId="17" borderId="97" xfId="0" applyFont="1" applyFill="1" applyBorder="1" applyAlignment="1" applyProtection="1">
      <alignment horizontal="center" vertical="center" wrapText="1" shrinkToFit="1"/>
      <protection hidden="1"/>
    </xf>
    <xf numFmtId="0" fontId="9" fillId="17" borderId="2" xfId="0" applyFont="1" applyFill="1" applyBorder="1" applyAlignment="1" applyProtection="1">
      <alignment horizontal="center" vertical="center" wrapText="1" shrinkToFit="1"/>
      <protection hidden="1"/>
    </xf>
    <xf numFmtId="0" fontId="9" fillId="17" borderId="20" xfId="0" applyFont="1" applyFill="1" applyBorder="1" applyAlignment="1" applyProtection="1">
      <alignment horizontal="center" vertical="center"/>
      <protection hidden="1"/>
    </xf>
    <xf numFmtId="0" fontId="9" fillId="17" borderId="21" xfId="0" applyFont="1" applyFill="1" applyBorder="1" applyAlignment="1" applyProtection="1">
      <alignment horizontal="center" vertical="center"/>
      <protection hidden="1"/>
    </xf>
    <xf numFmtId="0" fontId="9" fillId="17" borderId="22" xfId="0" applyFont="1" applyFill="1" applyBorder="1" applyAlignment="1" applyProtection="1">
      <alignment horizontal="center" vertical="center"/>
      <protection hidden="1"/>
    </xf>
    <xf numFmtId="0" fontId="9" fillId="12" borderId="115" xfId="0" applyFont="1" applyFill="1" applyBorder="1" applyAlignment="1" applyProtection="1">
      <alignment horizontal="center" vertical="center"/>
      <protection hidden="1"/>
    </xf>
    <xf numFmtId="0" fontId="9" fillId="12" borderId="117" xfId="0" applyFont="1" applyFill="1" applyBorder="1" applyAlignment="1" applyProtection="1">
      <alignment horizontal="center" vertical="center"/>
      <protection hidden="1"/>
    </xf>
    <xf numFmtId="0" fontId="9" fillId="12" borderId="109" xfId="0" applyFont="1" applyFill="1" applyBorder="1" applyAlignment="1" applyProtection="1">
      <alignment horizontal="center" vertical="center" wrapText="1" shrinkToFit="1"/>
      <protection hidden="1"/>
    </xf>
    <xf numFmtId="0" fontId="9" fillId="12" borderId="111" xfId="0" applyFont="1" applyFill="1" applyBorder="1" applyAlignment="1" applyProtection="1">
      <alignment horizontal="center" vertical="center" wrapText="1" shrinkToFit="1"/>
      <protection hidden="1"/>
    </xf>
    <xf numFmtId="0" fontId="9" fillId="18" borderId="110" xfId="1" applyFont="1" applyFill="1" applyBorder="1" applyAlignment="1" applyProtection="1">
      <alignment horizontal="center" vertical="center" wrapText="1" shrinkToFit="1"/>
      <protection hidden="1"/>
    </xf>
    <xf numFmtId="0" fontId="9" fillId="18" borderId="112" xfId="1" applyFont="1" applyFill="1" applyBorder="1" applyAlignment="1" applyProtection="1">
      <alignment horizontal="center" vertical="center" wrapText="1" shrinkToFit="1"/>
      <protection hidden="1"/>
    </xf>
    <xf numFmtId="0" fontId="9" fillId="18" borderId="115" xfId="1" applyFont="1" applyFill="1" applyBorder="1" applyAlignment="1" applyProtection="1">
      <alignment horizontal="center" vertical="center" wrapText="1" shrinkToFit="1"/>
      <protection hidden="1"/>
    </xf>
    <xf numFmtId="0" fontId="9" fillId="18" borderId="116" xfId="1" applyFont="1" applyFill="1" applyBorder="1" applyAlignment="1" applyProtection="1">
      <alignment horizontal="center" vertical="center" wrapText="1" shrinkToFit="1"/>
      <protection hidden="1"/>
    </xf>
    <xf numFmtId="0" fontId="9" fillId="18" borderId="117" xfId="1" applyFont="1" applyFill="1" applyBorder="1" applyAlignment="1" applyProtection="1">
      <alignment horizontal="center" vertical="center" wrapText="1" shrinkToFit="1"/>
      <protection hidden="1"/>
    </xf>
    <xf numFmtId="0" fontId="66" fillId="7" borderId="0" xfId="0" applyFont="1" applyFill="1" applyAlignment="1" applyProtection="1">
      <alignment horizontal="left" vertical="center" wrapText="1"/>
      <protection locked="0"/>
    </xf>
    <xf numFmtId="0" fontId="63" fillId="17" borderId="144" xfId="3" applyFont="1" applyFill="1" applyBorder="1" applyAlignment="1" applyProtection="1">
      <alignment horizontal="center" vertical="center" wrapText="1"/>
      <protection locked="0"/>
    </xf>
    <xf numFmtId="0" fontId="63" fillId="17" borderId="153" xfId="3" applyFont="1" applyFill="1" applyBorder="1" applyAlignment="1" applyProtection="1">
      <alignment horizontal="center" vertical="center" wrapText="1"/>
      <protection locked="0"/>
    </xf>
    <xf numFmtId="0" fontId="63" fillId="17" borderId="154" xfId="3" applyFont="1" applyFill="1" applyBorder="1" applyAlignment="1" applyProtection="1">
      <alignment horizontal="center" vertical="center" wrapText="1"/>
      <protection locked="0"/>
    </xf>
    <xf numFmtId="0" fontId="63" fillId="17" borderId="150" xfId="3" applyFont="1" applyFill="1" applyBorder="1" applyAlignment="1" applyProtection="1">
      <alignment horizontal="center" vertical="center" wrapText="1"/>
    </xf>
    <xf numFmtId="0" fontId="63" fillId="17" borderId="151" xfId="3" applyFont="1" applyFill="1" applyBorder="1" applyAlignment="1" applyProtection="1">
      <alignment horizontal="center" vertical="center" wrapText="1"/>
    </xf>
    <xf numFmtId="0" fontId="63" fillId="17" borderId="152" xfId="3" applyFont="1" applyFill="1" applyBorder="1" applyAlignment="1" applyProtection="1">
      <alignment horizontal="center" vertical="center" wrapText="1"/>
    </xf>
    <xf numFmtId="0" fontId="63" fillId="17" borderId="91" xfId="3" applyFont="1" applyFill="1" applyBorder="1" applyAlignment="1" applyProtection="1">
      <alignment horizontal="center" vertical="center" wrapText="1"/>
    </xf>
    <xf numFmtId="0" fontId="63" fillId="17" borderId="41" xfId="3" applyFont="1" applyFill="1" applyBorder="1" applyAlignment="1" applyProtection="1">
      <alignment horizontal="center" vertical="center" wrapText="1"/>
    </xf>
    <xf numFmtId="0" fontId="63" fillId="17" borderId="157" xfId="0" applyFont="1" applyFill="1" applyBorder="1" applyAlignment="1" applyProtection="1">
      <alignment horizontal="center" vertical="center" wrapText="1"/>
    </xf>
    <xf numFmtId="0" fontId="63" fillId="17" borderId="158" xfId="0" applyFont="1" applyFill="1" applyBorder="1" applyAlignment="1" applyProtection="1">
      <alignment horizontal="center" vertical="center" wrapText="1"/>
    </xf>
    <xf numFmtId="0" fontId="63" fillId="17" borderId="159" xfId="0" applyFont="1" applyFill="1" applyBorder="1" applyAlignment="1" applyProtection="1">
      <alignment horizontal="center" vertical="center" wrapText="1"/>
    </xf>
    <xf numFmtId="0" fontId="63" fillId="17" borderId="146" xfId="3" applyFont="1" applyFill="1" applyBorder="1" applyAlignment="1" applyProtection="1">
      <alignment horizontal="center" vertical="center" wrapText="1"/>
      <protection locked="0"/>
    </xf>
    <xf numFmtId="0" fontId="63" fillId="17" borderId="148" xfId="3" applyFont="1" applyFill="1" applyBorder="1" applyAlignment="1" applyProtection="1">
      <alignment horizontal="center" vertical="center" wrapText="1"/>
      <protection locked="0"/>
    </xf>
    <xf numFmtId="0" fontId="63" fillId="17" borderId="145" xfId="0" applyFont="1" applyFill="1" applyBorder="1" applyAlignment="1" applyProtection="1">
      <alignment horizontal="center" vertical="center" wrapText="1"/>
      <protection locked="0"/>
    </xf>
    <xf numFmtId="0" fontId="63" fillId="17" borderId="147" xfId="0" applyFont="1" applyFill="1" applyBorder="1" applyAlignment="1" applyProtection="1">
      <alignment horizontal="center" vertical="center" wrapText="1"/>
      <protection locked="0"/>
    </xf>
    <xf numFmtId="0" fontId="63" fillId="17" borderId="149" xfId="0" applyFont="1" applyFill="1" applyBorder="1" applyAlignment="1" applyProtection="1">
      <alignment horizontal="center" vertical="center" wrapText="1"/>
      <protection locked="0"/>
    </xf>
    <xf numFmtId="0" fontId="44" fillId="12" borderId="44" xfId="0" applyFont="1" applyFill="1" applyBorder="1" applyAlignment="1" applyProtection="1">
      <alignment horizontal="center" vertical="center"/>
    </xf>
    <xf numFmtId="0" fontId="44" fillId="12" borderId="81" xfId="0" applyFont="1" applyFill="1" applyBorder="1" applyAlignment="1" applyProtection="1">
      <alignment horizontal="center" vertical="center"/>
    </xf>
    <xf numFmtId="0" fontId="44" fillId="12" borderId="42" xfId="0" applyFont="1" applyFill="1" applyBorder="1" applyAlignment="1" applyProtection="1">
      <alignment horizontal="center" vertical="center"/>
    </xf>
    <xf numFmtId="0" fontId="73" fillId="21" borderId="137" xfId="0" applyFont="1" applyFill="1" applyBorder="1" applyAlignment="1" applyProtection="1">
      <alignment horizontal="center"/>
    </xf>
    <xf numFmtId="0" fontId="73" fillId="21" borderId="0" xfId="0" applyFont="1" applyFill="1" applyBorder="1" applyAlignment="1" applyProtection="1">
      <alignment horizontal="center"/>
    </xf>
    <xf numFmtId="0" fontId="73" fillId="21" borderId="131" xfId="0" applyFont="1" applyFill="1" applyBorder="1" applyAlignment="1" applyProtection="1">
      <alignment horizontal="center"/>
    </xf>
    <xf numFmtId="0" fontId="73" fillId="21" borderId="132" xfId="0" applyFont="1" applyFill="1" applyBorder="1" applyAlignment="1" applyProtection="1">
      <alignment horizontal="center"/>
    </xf>
    <xf numFmtId="0" fontId="73" fillId="21" borderId="133" xfId="0" applyFont="1" applyFill="1" applyBorder="1" applyAlignment="1" applyProtection="1">
      <alignment horizontal="center"/>
    </xf>
    <xf numFmtId="0" fontId="39" fillId="0" borderId="14" xfId="10" applyFont="1" applyBorder="1" applyAlignment="1">
      <alignment horizontal="center" vertical="center"/>
    </xf>
    <xf numFmtId="165" fontId="39" fillId="0" borderId="14" xfId="10" applyNumberFormat="1" applyFont="1" applyBorder="1" applyAlignment="1">
      <alignment horizontal="center" vertical="center"/>
    </xf>
    <xf numFmtId="10" fontId="39" fillId="0" borderId="14" xfId="12" applyNumberFormat="1" applyFont="1" applyBorder="1" applyAlignment="1" applyProtection="1">
      <alignment horizontal="center" vertical="center"/>
    </xf>
    <xf numFmtId="2" fontId="39" fillId="0" borderId="14" xfId="10" applyNumberFormat="1" applyFont="1" applyBorder="1" applyAlignment="1">
      <alignment horizontal="center" vertical="center"/>
    </xf>
    <xf numFmtId="0" fontId="77" fillId="12" borderId="95" xfId="10" applyFont="1" applyFill="1" applyBorder="1" applyAlignment="1">
      <alignment horizontal="center" vertical="center"/>
    </xf>
    <xf numFmtId="0" fontId="40" fillId="8" borderId="175" xfId="10" applyFont="1" applyFill="1" applyBorder="1" applyAlignment="1" applyProtection="1">
      <alignment horizontal="center" vertical="center" wrapText="1"/>
      <protection hidden="1"/>
    </xf>
    <xf numFmtId="0" fontId="40" fillId="8" borderId="14" xfId="10" applyFont="1" applyFill="1" applyBorder="1" applyAlignment="1" applyProtection="1">
      <alignment horizontal="center" vertical="center" wrapText="1"/>
      <protection hidden="1"/>
    </xf>
    <xf numFmtId="0" fontId="40" fillId="8" borderId="178" xfId="10" applyFont="1" applyFill="1" applyBorder="1" applyAlignment="1" applyProtection="1">
      <alignment horizontal="center" vertical="center" wrapText="1"/>
      <protection hidden="1"/>
    </xf>
    <xf numFmtId="0" fontId="79" fillId="9" borderId="1" xfId="10" applyFont="1" applyFill="1" applyBorder="1" applyAlignment="1" applyProtection="1">
      <alignment horizontal="left" vertical="top" wrapText="1"/>
      <protection hidden="1"/>
    </xf>
    <xf numFmtId="0" fontId="40" fillId="8" borderId="37" xfId="10" applyFont="1" applyFill="1" applyBorder="1" applyAlignment="1" applyProtection="1">
      <alignment horizontal="center" vertical="center" wrapText="1"/>
      <protection hidden="1"/>
    </xf>
    <xf numFmtId="0" fontId="40" fillId="8" borderId="177" xfId="10" applyFont="1" applyFill="1" applyBorder="1" applyAlignment="1" applyProtection="1">
      <alignment horizontal="center" vertical="center" wrapText="1"/>
      <protection hidden="1"/>
    </xf>
    <xf numFmtId="0" fontId="61" fillId="0" borderId="0" xfId="0" applyFont="1" applyAlignment="1" applyProtection="1">
      <alignment horizontal="center" vertical="center" wrapText="1"/>
      <protection locked="0"/>
    </xf>
    <xf numFmtId="0" fontId="10" fillId="12" borderId="131" xfId="0" applyFont="1" applyFill="1" applyBorder="1" applyAlignment="1" applyProtection="1">
      <alignment horizontal="center" vertical="center" wrapText="1"/>
    </xf>
    <xf numFmtId="0" fontId="10" fillId="12" borderId="39" xfId="0" applyFont="1" applyFill="1" applyBorder="1" applyAlignment="1" applyProtection="1">
      <alignment horizontal="center" vertical="center" wrapText="1"/>
    </xf>
    <xf numFmtId="0" fontId="10" fillId="12" borderId="163" xfId="0" applyFont="1" applyFill="1" applyBorder="1" applyAlignment="1" applyProtection="1">
      <alignment horizontal="center" vertical="center" wrapText="1"/>
    </xf>
    <xf numFmtId="0" fontId="10" fillId="12" borderId="168" xfId="0" applyFont="1" applyFill="1" applyBorder="1" applyAlignment="1" applyProtection="1">
      <alignment horizontal="center" vertical="center" wrapText="1"/>
    </xf>
    <xf numFmtId="0" fontId="10" fillId="12" borderId="133" xfId="0" applyFont="1" applyFill="1" applyBorder="1" applyAlignment="1" applyProtection="1">
      <alignment horizontal="center" vertical="center" wrapText="1"/>
    </xf>
    <xf numFmtId="0" fontId="10" fillId="12" borderId="41" xfId="0" applyFont="1" applyFill="1" applyBorder="1" applyAlignment="1" applyProtection="1">
      <alignment horizontal="center" vertical="center" wrapText="1"/>
    </xf>
    <xf numFmtId="0" fontId="31" fillId="8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left" vertical="center"/>
    </xf>
    <xf numFmtId="0" fontId="47" fillId="0" borderId="0" xfId="0" applyFont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 wrapText="1"/>
    </xf>
    <xf numFmtId="0" fontId="11" fillId="10" borderId="51" xfId="0" applyFont="1" applyFill="1" applyBorder="1" applyAlignment="1">
      <alignment horizontal="center" vertical="center" wrapText="1"/>
    </xf>
    <xf numFmtId="0" fontId="11" fillId="10" borderId="65" xfId="0" applyFont="1" applyFill="1" applyBorder="1" applyAlignment="1" applyProtection="1">
      <alignment horizontal="center" vertical="center" wrapText="1"/>
      <protection locked="0"/>
    </xf>
    <xf numFmtId="0" fontId="11" fillId="10" borderId="66" xfId="0" applyFont="1" applyFill="1" applyBorder="1" applyAlignment="1" applyProtection="1">
      <alignment horizontal="center" vertical="center" wrapText="1"/>
      <protection locked="0"/>
    </xf>
    <xf numFmtId="0" fontId="11" fillId="10" borderId="57" xfId="0" applyFont="1" applyFill="1" applyBorder="1" applyAlignment="1" applyProtection="1">
      <alignment horizontal="center" vertical="center" wrapText="1"/>
      <protection locked="0"/>
    </xf>
    <xf numFmtId="0" fontId="11" fillId="10" borderId="58" xfId="0" applyFont="1" applyFill="1" applyBorder="1" applyAlignment="1" applyProtection="1">
      <alignment horizontal="center" vertical="center" wrapText="1"/>
      <protection locked="0"/>
    </xf>
    <xf numFmtId="0" fontId="37" fillId="19" borderId="75" xfId="0" applyFont="1" applyFill="1" applyBorder="1" applyProtection="1">
      <protection locked="0"/>
    </xf>
    <xf numFmtId="0" fontId="5" fillId="19" borderId="75" xfId="0" applyFont="1" applyFill="1" applyBorder="1" applyProtection="1">
      <protection locked="0"/>
    </xf>
    <xf numFmtId="167" fontId="5" fillId="19" borderId="75" xfId="0" applyNumberFormat="1" applyFont="1" applyFill="1" applyBorder="1" applyProtection="1">
      <protection locked="0"/>
    </xf>
    <xf numFmtId="0" fontId="5" fillId="19" borderId="81" xfId="0" applyFont="1" applyFill="1" applyBorder="1" applyProtection="1"/>
    <xf numFmtId="0" fontId="5" fillId="19" borderId="75" xfId="0" applyFont="1" applyFill="1" applyBorder="1" applyProtection="1"/>
    <xf numFmtId="2" fontId="5" fillId="19" borderId="75" xfId="0" applyNumberFormat="1" applyFont="1" applyFill="1" applyBorder="1" applyProtection="1">
      <protection locked="0"/>
    </xf>
    <xf numFmtId="0" fontId="37" fillId="30" borderId="75" xfId="0" applyFont="1" applyFill="1" applyBorder="1" applyProtection="1">
      <protection locked="0"/>
    </xf>
    <xf numFmtId="0" fontId="5" fillId="30" borderId="75" xfId="0" applyFont="1" applyFill="1" applyBorder="1" applyProtection="1">
      <protection locked="0"/>
    </xf>
    <xf numFmtId="167" fontId="5" fillId="30" borderId="75" xfId="0" applyNumberFormat="1" applyFont="1" applyFill="1" applyBorder="1" applyProtection="1">
      <protection locked="0"/>
    </xf>
    <xf numFmtId="0" fontId="5" fillId="30" borderId="81" xfId="0" applyFont="1" applyFill="1" applyBorder="1" applyProtection="1"/>
    <xf numFmtId="0" fontId="5" fillId="30" borderId="75" xfId="0" applyFont="1" applyFill="1" applyBorder="1" applyProtection="1"/>
  </cellXfs>
  <cellStyles count="16">
    <cellStyle name="Euro 2" xfId="15"/>
    <cellStyle name="Hiperligação" xfId="5" builtinId="8"/>
    <cellStyle name="Hiperligação 2" xfId="8"/>
    <cellStyle name="Moeda" xfId="2" builtinId="4"/>
    <cellStyle name="Moeda 2" xfId="4"/>
    <cellStyle name="Moeda 3" xfId="9"/>
    <cellStyle name="Moeda 4" xfId="11"/>
    <cellStyle name="Normal" xfId="0" builtinId="0"/>
    <cellStyle name="Normal 2" xfId="3"/>
    <cellStyle name="Normal 2 3" xfId="14"/>
    <cellStyle name="Normal 3" xfId="6"/>
    <cellStyle name="Normal 4" xfId="10"/>
    <cellStyle name="Normal_Folha1" xfId="1"/>
    <cellStyle name="Percentagem" xfId="13" builtinId="5"/>
    <cellStyle name="Percentagem 2" xfId="7"/>
    <cellStyle name="Percentagem 3" xfId="12"/>
  </cellStyles>
  <dxfs count="4"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ont>
        <color theme="4" tint="0.79998168889431442"/>
      </font>
      <fill>
        <patternFill patternType="solid">
          <bgColor theme="4" tint="0.79998168889431442"/>
        </patternFill>
      </fill>
    </dxf>
    <dxf>
      <font>
        <color theme="0"/>
      </font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39471D"/>
      <color rgb="FF002D86"/>
      <color rgb="FF580000"/>
      <color rgb="FF003296"/>
      <color rgb="FF0037A4"/>
      <color rgb="FF00297A"/>
      <color rgb="FFF2F6EA"/>
      <color rgb="FFB2B2B2"/>
      <color rgb="FF52ADC2"/>
      <color rgb="FF54C0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38100</xdr:colOff>
      <xdr:row>7</xdr:row>
      <xdr:rowOff>30692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B4C47D-B9FE-466B-A877-12366CE09D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61925"/>
          <a:ext cx="2562225" cy="1002242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228601</xdr:colOff>
      <xdr:row>1</xdr:row>
      <xdr:rowOff>38100</xdr:rowOff>
    </xdr:from>
    <xdr:to>
      <xdr:col>5</xdr:col>
      <xdr:colOff>6351</xdr:colOff>
      <xdr:row>7</xdr:row>
      <xdr:rowOff>123598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FD49FF-4126-4087-8F2B-18881B275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6" y="200025"/>
          <a:ext cx="2749550" cy="1060223"/>
        </a:xfrm>
        <a:prstGeom prst="rect">
          <a:avLst/>
        </a:prstGeom>
      </xdr:spPr>
    </xdr:pic>
    <xdr:clientData/>
  </xdr:twoCellAnchor>
  <xdr:twoCellAnchor editAs="oneCell">
    <xdr:from>
      <xdr:col>4</xdr:col>
      <xdr:colOff>1654176</xdr:colOff>
      <xdr:row>0</xdr:row>
      <xdr:rowOff>123825</xdr:rowOff>
    </xdr:from>
    <xdr:to>
      <xdr:col>7</xdr:col>
      <xdr:colOff>257175</xdr:colOff>
      <xdr:row>7</xdr:row>
      <xdr:rowOff>44450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CDC8619-D199-4B88-9E04-F5C368798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8076" y="123825"/>
          <a:ext cx="2419349" cy="1057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84668</xdr:rowOff>
    </xdr:from>
    <xdr:to>
      <xdr:col>4</xdr:col>
      <xdr:colOff>1143000</xdr:colOff>
      <xdr:row>7</xdr:row>
      <xdr:rowOff>127001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3218B1-DAA6-4518-BBF2-35B3B57A068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84668"/>
          <a:ext cx="3079750" cy="1153583"/>
        </a:xfrm>
        <a:prstGeom prst="rect">
          <a:avLst/>
        </a:prstGeom>
      </xdr:spPr>
    </xdr:pic>
    <xdr:clientData/>
  </xdr:twoCellAnchor>
  <xdr:twoCellAnchor editAs="oneCell">
    <xdr:from>
      <xdr:col>5</xdr:col>
      <xdr:colOff>215194</xdr:colOff>
      <xdr:row>1</xdr:row>
      <xdr:rowOff>10583</xdr:rowOff>
    </xdr:from>
    <xdr:to>
      <xdr:col>7</xdr:col>
      <xdr:colOff>736246</xdr:colOff>
      <xdr:row>7</xdr:row>
      <xdr:rowOff>42333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21E1703-1937-466F-A674-CACE6124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0111" y="169333"/>
          <a:ext cx="2595386" cy="984250"/>
        </a:xfrm>
        <a:prstGeom prst="rect">
          <a:avLst/>
        </a:prstGeom>
      </xdr:spPr>
    </xdr:pic>
    <xdr:clientData/>
  </xdr:twoCellAnchor>
  <xdr:twoCellAnchor>
    <xdr:from>
      <xdr:col>6</xdr:col>
      <xdr:colOff>275167</xdr:colOff>
      <xdr:row>30</xdr:row>
      <xdr:rowOff>127001</xdr:rowOff>
    </xdr:from>
    <xdr:to>
      <xdr:col>13</xdr:col>
      <xdr:colOff>222250</xdr:colOff>
      <xdr:row>34</xdr:row>
      <xdr:rowOff>127000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5072BB2-456A-4BBF-A906-D0567F5D38BA}"/>
            </a:ext>
          </a:extLst>
        </xdr:cNvPr>
        <xdr:cNvSpPr txBox="1"/>
      </xdr:nvSpPr>
      <xdr:spPr>
        <a:xfrm>
          <a:off x="4984750" y="6540501"/>
          <a:ext cx="5027083" cy="793749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A</a:t>
          </a:r>
          <a:r>
            <a:rPr lang="pt-PT" sz="1100" baseline="0"/>
            <a:t> folha de cálculo encontra-se preenchida de forma a facilitar o preenchimento da mesma. Existe uma lógica de preenchimento e solicitava que a mesma fosse cumprida: a) Preenchimento da data de início e da duração do projeto;</a:t>
          </a:r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158749</xdr:rowOff>
    </xdr:from>
    <xdr:to>
      <xdr:col>4</xdr:col>
      <xdr:colOff>74084</xdr:colOff>
      <xdr:row>8</xdr:row>
      <xdr:rowOff>42332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8E4B46-D8EF-44B0-A486-DC33AE3CA79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749"/>
          <a:ext cx="3081867" cy="1178983"/>
        </a:xfrm>
        <a:prstGeom prst="rect">
          <a:avLst/>
        </a:prstGeom>
      </xdr:spPr>
    </xdr:pic>
    <xdr:clientData/>
  </xdr:twoCellAnchor>
  <xdr:twoCellAnchor editAs="oneCell">
    <xdr:from>
      <xdr:col>4</xdr:col>
      <xdr:colOff>215194</xdr:colOff>
      <xdr:row>1</xdr:row>
      <xdr:rowOff>10583</xdr:rowOff>
    </xdr:from>
    <xdr:to>
      <xdr:col>6</xdr:col>
      <xdr:colOff>736246</xdr:colOff>
      <xdr:row>7</xdr:row>
      <xdr:rowOff>42333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E66BB2-1A55-4B62-AC9B-52160C08E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7519" y="172508"/>
          <a:ext cx="2597503" cy="1003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17</xdr:row>
      <xdr:rowOff>0</xdr:rowOff>
    </xdr:from>
    <xdr:to>
      <xdr:col>14</xdr:col>
      <xdr:colOff>2635250</xdr:colOff>
      <xdr:row>21</xdr:row>
      <xdr:rowOff>158749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76DE2F6-9276-4A63-8BE5-B44D0F2E1BD8}"/>
            </a:ext>
          </a:extLst>
        </xdr:cNvPr>
        <xdr:cNvSpPr txBox="1"/>
      </xdr:nvSpPr>
      <xdr:spPr>
        <a:xfrm>
          <a:off x="9292167" y="3249083"/>
          <a:ext cx="5027083" cy="793749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A</a:t>
          </a:r>
          <a:r>
            <a:rPr lang="pt-PT" sz="1100" baseline="0"/>
            <a:t> folha de cálculo encontra-se preenchida de forma a facilitar o preenchimento da mesma. Existe uma lógica de preenchimento e solicitava que a mesma fosse cumprida: a) Preenchimento das atividades, da data de início e duração bem como a classificação das atividades</a:t>
          </a:r>
          <a:endParaRPr lang="pt-PT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792722</xdr:colOff>
      <xdr:row>6</xdr:row>
      <xdr:rowOff>129117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DE9109-0AAC-49D7-A955-2868615825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01600"/>
          <a:ext cx="2565400" cy="101811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</xdr:colOff>
      <xdr:row>0</xdr:row>
      <xdr:rowOff>143669</xdr:rowOff>
    </xdr:from>
    <xdr:to>
      <xdr:col>4</xdr:col>
      <xdr:colOff>105195</xdr:colOff>
      <xdr:row>7</xdr:row>
      <xdr:rowOff>165894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5E2D456-4A14-45B7-AF7A-8221A66AB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7562" y="143669"/>
          <a:ext cx="2224508" cy="11890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638174</xdr:colOff>
      <xdr:row>1</xdr:row>
      <xdr:rowOff>28574</xdr:rowOff>
    </xdr:from>
    <xdr:to>
      <xdr:col>2</xdr:col>
      <xdr:colOff>581024</xdr:colOff>
      <xdr:row>7</xdr:row>
      <xdr:rowOff>266700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3A6C6B-1097-4023-BF50-1B1A0B7A3B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171449"/>
          <a:ext cx="3095625" cy="1095376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0</xdr:row>
      <xdr:rowOff>113519</xdr:rowOff>
    </xdr:from>
    <xdr:to>
      <xdr:col>5</xdr:col>
      <xdr:colOff>600075</xdr:colOff>
      <xdr:row>7</xdr:row>
      <xdr:rowOff>272593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9794A3-EB73-403D-81A3-85E920E13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0975" y="113519"/>
          <a:ext cx="2124075" cy="11591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638174</xdr:colOff>
      <xdr:row>1</xdr:row>
      <xdr:rowOff>28574</xdr:rowOff>
    </xdr:from>
    <xdr:to>
      <xdr:col>2</xdr:col>
      <xdr:colOff>581024</xdr:colOff>
      <xdr:row>7</xdr:row>
      <xdr:rowOff>266700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94E43C-A0A4-473B-BAA5-4E6CC572572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171449"/>
          <a:ext cx="3095625" cy="1095376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0</xdr:row>
      <xdr:rowOff>113519</xdr:rowOff>
    </xdr:from>
    <xdr:to>
      <xdr:col>5</xdr:col>
      <xdr:colOff>600075</xdr:colOff>
      <xdr:row>7</xdr:row>
      <xdr:rowOff>272593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3854B8-4EEA-46EA-AE0C-9E734ABB7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0975" y="113519"/>
          <a:ext cx="2124075" cy="11591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638174</xdr:colOff>
      <xdr:row>1</xdr:row>
      <xdr:rowOff>28574</xdr:rowOff>
    </xdr:from>
    <xdr:to>
      <xdr:col>3</xdr:col>
      <xdr:colOff>800099</xdr:colOff>
      <xdr:row>7</xdr:row>
      <xdr:rowOff>266700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241575-64E3-4E3F-90DD-7FA41B3EC1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171449"/>
          <a:ext cx="3095625" cy="1095376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0</xdr:row>
      <xdr:rowOff>113519</xdr:rowOff>
    </xdr:from>
    <xdr:to>
      <xdr:col>4</xdr:col>
      <xdr:colOff>752475</xdr:colOff>
      <xdr:row>7</xdr:row>
      <xdr:rowOff>272593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A0B4A27-00CD-4C95-0075-E801489D5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0975" y="113519"/>
          <a:ext cx="2124075" cy="11591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1774031</xdr:colOff>
      <xdr:row>8</xdr:row>
      <xdr:rowOff>107156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846772-69BC-48CD-BAF8-D7F72645CC1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06" y="101600"/>
          <a:ext cx="3486944" cy="1339056"/>
        </a:xfrm>
        <a:prstGeom prst="rect">
          <a:avLst/>
        </a:prstGeom>
      </xdr:spPr>
    </xdr:pic>
    <xdr:clientData/>
  </xdr:twoCellAnchor>
  <xdr:twoCellAnchor editAs="oneCell">
    <xdr:from>
      <xdr:col>2</xdr:col>
      <xdr:colOff>1797843</xdr:colOff>
      <xdr:row>1</xdr:row>
      <xdr:rowOff>12700</xdr:rowOff>
    </xdr:from>
    <xdr:to>
      <xdr:col>6</xdr:col>
      <xdr:colOff>45664</xdr:colOff>
      <xdr:row>8</xdr:row>
      <xdr:rowOff>39688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C101920-D579-42F4-B448-A9E0A8E1B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9562" y="179388"/>
          <a:ext cx="2224508" cy="1193800"/>
        </a:xfrm>
        <a:prstGeom prst="rect">
          <a:avLst/>
        </a:prstGeom>
      </xdr:spPr>
    </xdr:pic>
    <xdr:clientData/>
  </xdr:twoCellAnchor>
  <xdr:twoCellAnchor>
    <xdr:from>
      <xdr:col>8</xdr:col>
      <xdr:colOff>464343</xdr:colOff>
      <xdr:row>1</xdr:row>
      <xdr:rowOff>111920</xdr:rowOff>
    </xdr:from>
    <xdr:to>
      <xdr:col>24</xdr:col>
      <xdr:colOff>476250</xdr:colOff>
      <xdr:row>9</xdr:row>
      <xdr:rowOff>119062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A22B472-A6F9-4426-A121-C3C3A961AC55}"/>
            </a:ext>
          </a:extLst>
        </xdr:cNvPr>
        <xdr:cNvSpPr txBox="1"/>
      </xdr:nvSpPr>
      <xdr:spPr>
        <a:xfrm>
          <a:off x="8217693" y="273845"/>
          <a:ext cx="9632157" cy="1302542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400" b="1"/>
            <a:t>NOTA</a:t>
          </a:r>
          <a:r>
            <a:rPr lang="pt-PT" sz="1400" baseline="0"/>
            <a:t> :     </a:t>
          </a:r>
          <a:r>
            <a:rPr lang="pt-PT" sz="1400" baseline="0">
              <a:solidFill>
                <a:schemeClr val="tx2">
                  <a:lumMod val="75000"/>
                </a:schemeClr>
              </a:solidFill>
            </a:rPr>
            <a:t>Esta tabela é indicativa foi contruída no sentido de ajudar os investigadores da Universidade do Algarve a determinar os ETI/FTE ao projeto. </a:t>
          </a:r>
          <a:r>
            <a:rPr lang="pt-PT" sz="1400" baseline="0">
              <a:solidFill>
                <a:srgbClr val="FF0000"/>
              </a:solidFill>
            </a:rPr>
            <a:t>Assim 1 mês tem 140 horas (7horas*5 dias*4semanas</a:t>
          </a:r>
          <a:r>
            <a:rPr lang="pt-PT" sz="1400" baseline="0">
              <a:solidFill>
                <a:schemeClr val="tx2">
                  <a:lumMod val="75000"/>
                </a:schemeClr>
              </a:solidFill>
            </a:rPr>
            <a:t>). Para o cálculo do FTE/ETI deve-se ter em consideração a % dedicada à tarefa. Por exemplo um investigador que se dedique 25% do seu tempo (mês) representa 35 horas. As 35 horas representam 0,25 FTE. De  forma a ser calculado os FTE deve ser colocado na tabela o FTE por mês.  </a:t>
          </a:r>
          <a:r>
            <a:rPr lang="pt-PT" sz="1400" baseline="0">
              <a:solidFill>
                <a:srgbClr val="00B0F0"/>
              </a:solidFill>
            </a:rPr>
            <a:t>UM ANO TEM UM TOTAL DE 1680 HORAS</a:t>
          </a:r>
          <a:r>
            <a:rPr lang="pt-PT" sz="1400" baseline="0">
              <a:solidFill>
                <a:schemeClr val="tx2">
                  <a:lumMod val="75000"/>
                </a:schemeClr>
              </a:solidFill>
            </a:rPr>
            <a:t>.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pt-PT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792722</xdr:colOff>
      <xdr:row>6</xdr:row>
      <xdr:rowOff>129117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65C07A-9B1A-4BD6-B0BC-B133B83A3E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425" y="101600"/>
          <a:ext cx="2500872" cy="99906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</xdr:colOff>
      <xdr:row>0</xdr:row>
      <xdr:rowOff>143669</xdr:rowOff>
    </xdr:from>
    <xdr:to>
      <xdr:col>4</xdr:col>
      <xdr:colOff>69476</xdr:colOff>
      <xdr:row>8</xdr:row>
      <xdr:rowOff>3969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99BDDE-9ED1-4ADE-9A70-5A9E7F29B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199" y="143669"/>
          <a:ext cx="2224508" cy="1155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105834</xdr:colOff>
      <xdr:row>1</xdr:row>
      <xdr:rowOff>28574</xdr:rowOff>
    </xdr:from>
    <xdr:to>
      <xdr:col>5</xdr:col>
      <xdr:colOff>1685925</xdr:colOff>
      <xdr:row>6</xdr:row>
      <xdr:rowOff>7408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473E1C-6EA1-42C6-A707-30BE6FABC67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909" y="219074"/>
          <a:ext cx="2227791" cy="931334"/>
        </a:xfrm>
        <a:prstGeom prst="rect">
          <a:avLst/>
        </a:prstGeom>
      </xdr:spPr>
    </xdr:pic>
    <xdr:clientData/>
  </xdr:twoCellAnchor>
  <xdr:twoCellAnchor editAs="oneCell">
    <xdr:from>
      <xdr:col>7</xdr:col>
      <xdr:colOff>468841</xdr:colOff>
      <xdr:row>0</xdr:row>
      <xdr:rowOff>123825</xdr:rowOff>
    </xdr:from>
    <xdr:to>
      <xdr:col>9</xdr:col>
      <xdr:colOff>759882</xdr:colOff>
      <xdr:row>6</xdr:row>
      <xdr:rowOff>94989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E4A7E7D-3C5D-47E3-83D6-AE46D8E0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7216" y="123825"/>
          <a:ext cx="1919816" cy="10855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112184</xdr:colOff>
      <xdr:row>1</xdr:row>
      <xdr:rowOff>55033</xdr:rowOff>
    </xdr:from>
    <xdr:to>
      <xdr:col>1</xdr:col>
      <xdr:colOff>2150534</xdr:colOff>
      <xdr:row>5</xdr:row>
      <xdr:rowOff>123401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290DD2-9670-41B0-897E-4F4536619B3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59" y="207433"/>
          <a:ext cx="2038350" cy="830368"/>
        </a:xfrm>
        <a:prstGeom prst="rect">
          <a:avLst/>
        </a:prstGeom>
      </xdr:spPr>
    </xdr:pic>
    <xdr:clientData/>
  </xdr:twoCellAnchor>
  <xdr:twoCellAnchor editAs="oneCell">
    <xdr:from>
      <xdr:col>1</xdr:col>
      <xdr:colOff>2369842</xdr:colOff>
      <xdr:row>0</xdr:row>
      <xdr:rowOff>120650</xdr:rowOff>
    </xdr:from>
    <xdr:to>
      <xdr:col>2</xdr:col>
      <xdr:colOff>153423</xdr:colOff>
      <xdr:row>6</xdr:row>
      <xdr:rowOff>19396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CF7AD9C-1E08-447E-A44B-9FBE1D1F1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7427" y="120650"/>
          <a:ext cx="1916462" cy="102075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112184</xdr:colOff>
      <xdr:row>1</xdr:row>
      <xdr:rowOff>55033</xdr:rowOff>
    </xdr:from>
    <xdr:to>
      <xdr:col>1</xdr:col>
      <xdr:colOff>2150534</xdr:colOff>
      <xdr:row>5</xdr:row>
      <xdr:rowOff>123401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E65FC3-B31F-4FB5-AFCD-5EDFE6F1F6B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684" y="207433"/>
          <a:ext cx="2038350" cy="792268"/>
        </a:xfrm>
        <a:prstGeom prst="rect">
          <a:avLst/>
        </a:prstGeom>
      </xdr:spPr>
    </xdr:pic>
    <xdr:clientData/>
  </xdr:twoCellAnchor>
  <xdr:twoCellAnchor editAs="oneCell">
    <xdr:from>
      <xdr:col>1</xdr:col>
      <xdr:colOff>2409825</xdr:colOff>
      <xdr:row>1</xdr:row>
      <xdr:rowOff>0</xdr:rowOff>
    </xdr:from>
    <xdr:to>
      <xdr:col>3</xdr:col>
      <xdr:colOff>901700</xdr:colOff>
      <xdr:row>6</xdr:row>
      <xdr:rowOff>28348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57EEE94-27AC-4791-A308-F3312D7E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0325" y="152400"/>
          <a:ext cx="2530475" cy="933223"/>
        </a:xfrm>
        <a:prstGeom prst="rect">
          <a:avLst/>
        </a:prstGeom>
      </xdr:spPr>
    </xdr:pic>
    <xdr:clientData/>
  </xdr:twoCellAnchor>
  <xdr:twoCellAnchor editAs="oneCell">
    <xdr:from>
      <xdr:col>4</xdr:col>
      <xdr:colOff>101600</xdr:colOff>
      <xdr:row>0</xdr:row>
      <xdr:rowOff>120650</xdr:rowOff>
    </xdr:from>
    <xdr:to>
      <xdr:col>5</xdr:col>
      <xdr:colOff>752475</xdr:colOff>
      <xdr:row>6</xdr:row>
      <xdr:rowOff>19396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FBAA80B-B787-4C1B-A6C7-AD27A613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78475" y="120650"/>
          <a:ext cx="1965325" cy="956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:\PT%202020\AVISO%20N&#186;%2008SI2015%20co%20promocao\Candidaturas\FCTUC%20!!!!%20Jos&#233;%20Baranda%20Ribeiro%20DEM\1-%20Candidatura\1-%20Pedido%20de%20Apoio\2.%20RoadMap%20v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Vesta\sapi\SAPI_FCTUC\QREN\PO%20Factores%20Competitividade\QREN%20Co-promocao\aaaa%20documenta&#231;&#227;o\UC%20formul&#225;rios\Univ.Coimbra_DadosGerais_SA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.DIE\PROJETOS%20I&amp;D\2.FCT\1.%20PTDC\2023\PTDC_MPr-2023-12\8.%20CANDIDATURAS\0.PARCERIAS\Bruno%20Medronho\C&#243;pia%20de%20Im1188_Minuta_orcamento_UC_ICDT_MPr_2023_12%20PEDRO%20FAIA%20FCT%20202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IE\PROJETOS%20I&amp;D\POMAR2020\CIMA_Afonsodo&#211;\BudgetUAIC-MAR2020_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IE\PROJETOS%20I&amp;D\POMAR2020\Avisos\4.Aquicultura\2016\CIMA_Afonsodo&#211;\BudgetUAIC-MAR2020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 fonte"/>
      <sheetName val="Equipamento com orçamento"/>
      <sheetName val="Quadro 22 (Dauer + UC)"/>
      <sheetName val="Quadro 22 (UC)"/>
      <sheetName val="Listas para formulário"/>
      <sheetName val="aux"/>
      <sheetName val="Dados Aux"/>
      <sheetName val="Listas_para_formulário"/>
    </sheetNames>
    <sheetDataSet>
      <sheetData sheetId="0"/>
      <sheetData sheetId="1"/>
      <sheetData sheetId="2"/>
      <sheetData sheetId="3"/>
      <sheetData sheetId="4">
        <row r="2">
          <cell r="A2" t="str">
            <v>a.ii) Aquisição de patentes</v>
          </cell>
          <cell r="C2" t="str">
            <v>43.1 - Terrenos e recursos naturais</v>
          </cell>
          <cell r="E2" t="str">
            <v>1 - DEM</v>
          </cell>
          <cell r="G2" t="str">
            <v>1 - Benchmarking</v>
          </cell>
        </row>
        <row r="3">
          <cell r="A3" t="str">
            <v>a.iii) Matérias-primas e componentes</v>
          </cell>
          <cell r="C3" t="str">
            <v>43.2 - Edifícios e outras construções</v>
          </cell>
          <cell r="E3" t="str">
            <v>2 - Instalações LIP</v>
          </cell>
          <cell r="G3" t="str">
            <v>2 - Estudo do fenómeno de transferência de calor com evaporação ebulitiva entre meios porosos e superfícies sólidas</v>
          </cell>
        </row>
        <row r="4">
          <cell r="A4" t="str">
            <v>a.iv.2) Aquisição de serviços a terceiros - outras despesas</v>
          </cell>
          <cell r="C4" t="str">
            <v>43.3 - Equipamento básico</v>
          </cell>
          <cell r="E4" t="str">
            <v>3 - Instalações GranDesign</v>
          </cell>
          <cell r="G4" t="str">
            <v>3 - ?</v>
          </cell>
        </row>
        <row r="5">
          <cell r="A5" t="str">
            <v>a.v) Aquisição de instrumentos e equipamento científico</v>
          </cell>
          <cell r="C5" t="str">
            <v>43.4 - Equipamento de transporte</v>
          </cell>
          <cell r="G5" t="str">
            <v>4 - ?</v>
          </cell>
        </row>
        <row r="6">
          <cell r="A6" t="str">
            <v>a.vi) Aquisição de software específico</v>
          </cell>
          <cell r="C6" t="str">
            <v>43.5 - Equipamento administrativo</v>
          </cell>
          <cell r="G6" t="str">
            <v>5 - Integração e caracterização</v>
          </cell>
        </row>
        <row r="7">
          <cell r="A7" t="str">
            <v>a.vii.1) Despesas com promoção e divulgação - feiras e exposições</v>
          </cell>
          <cell r="C7" t="str">
            <v>43.6 - Equipamentos biológicos</v>
          </cell>
          <cell r="G7" t="str">
            <v>6 - Projecto e construção dos protótipos para testes de campo</v>
          </cell>
        </row>
        <row r="8">
          <cell r="A8" t="str">
            <v>a.vii.2) Despesas com promoção e divulgação - outras despesas</v>
          </cell>
          <cell r="C8" t="str">
            <v>43.7 - Outros activos fixos tangíveis</v>
          </cell>
          <cell r="G8" t="str">
            <v>7 - Testes de Campo</v>
          </cell>
        </row>
        <row r="9">
          <cell r="A9" t="str">
            <v>a.viii) Viagens e estadas no estrangeiro</v>
          </cell>
          <cell r="C9" t="str">
            <v>44.1 - Goodwill</v>
          </cell>
          <cell r="G9" t="str">
            <v>8 - Gestão técnico-financeira, promoção e divulgação de resultados</v>
          </cell>
        </row>
        <row r="10">
          <cell r="A10" t="str">
            <v>a.ix.2) Despesas com processos de certificação - outras despesas</v>
          </cell>
          <cell r="C10" t="str">
            <v>44.2 - Projectos de desenvolvimento</v>
          </cell>
        </row>
        <row r="11">
          <cell r="A11" t="str">
            <v>a.x) Despesas com intervenção de Auditor técnico-científico</v>
          </cell>
          <cell r="C11" t="str">
            <v>44.3 - Programas de computador</v>
          </cell>
        </row>
        <row r="12">
          <cell r="A12" t="str">
            <v>a.xi) Despesas com TOC/ROC</v>
          </cell>
          <cell r="C12" t="str">
            <v>44.6 - Outros activos intangíveis</v>
          </cell>
        </row>
        <row r="13">
          <cell r="A13" t="str">
            <v>a.xii) Contribuições em espécie</v>
          </cell>
          <cell r="C13" t="str">
            <v>62.1 - Subcontratos</v>
          </cell>
        </row>
        <row r="14">
          <cell r="A14" t="str">
            <v>b) Custos indirectos</v>
          </cell>
          <cell r="C14" t="str">
            <v>62.2 - Serviços especializados</v>
          </cell>
        </row>
        <row r="15">
          <cell r="A15" t="str">
            <v>c) Despesas não elegíveis</v>
          </cell>
          <cell r="C15" t="str">
            <v>62.3 - Materiais</v>
          </cell>
        </row>
        <row r="16">
          <cell r="C16" t="str">
            <v>62.4 - Energia e fluidos</v>
          </cell>
        </row>
        <row r="17">
          <cell r="C17" t="str">
            <v>62.5 - Deslocações, estadas e transportes</v>
          </cell>
        </row>
        <row r="18">
          <cell r="C18" t="str">
            <v>62.6 - Serviços diversos</v>
          </cell>
        </row>
        <row r="19">
          <cell r="C19" t="str">
            <v>63.2 - Remunerações do pessoal</v>
          </cell>
        </row>
        <row r="20">
          <cell r="C20" t="str">
            <v>63.5 - Encargos sobre remunerações</v>
          </cell>
        </row>
        <row r="21">
          <cell r="C21" t="str">
            <v>63.8 - Outros gastos com pessoal</v>
          </cell>
        </row>
        <row r="22">
          <cell r="C22" t="str">
            <v>Despesas com entidades públicas</v>
          </cell>
        </row>
        <row r="23">
          <cell r="C23" t="str">
            <v>Fundo de maneio</v>
          </cell>
        </row>
      </sheetData>
      <sheetData sheetId="5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_DAPI"/>
      <sheetName val="Resumo"/>
      <sheetName val="ODS"/>
      <sheetName val="RH_ETIs_por_Ano"/>
      <sheetName val="RH_Financ_por_Ano"/>
      <sheetName val="Cronograma"/>
      <sheetName val="RH_ETIs_por_Atividade"/>
      <sheetName val="RH_Financ_por_Atividade"/>
      <sheetName val="Orc_interno_RH_novos_contratos"/>
      <sheetName val="Orc_interno_RH_bolsas"/>
      <sheetName val="RH_PMs_Ano"/>
      <sheetName val="Missoes"/>
      <sheetName val="Demonst_promocao_divulgacao"/>
      <sheetName val="Equipamento"/>
      <sheetName val="Orc_interno_Outros_invest"/>
      <sheetName val="Orc_interno_resumo_orcamento"/>
      <sheetName val="taxas_amort_CC2"/>
      <sheetName val="dados_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2">
          <cell r="B42" t="str">
            <v>Selecionar</v>
          </cell>
        </row>
        <row r="43">
          <cell r="B43" t="str">
            <v>Masculino</v>
          </cell>
        </row>
        <row r="44">
          <cell r="B44" t="str">
            <v>Feminino</v>
          </cell>
        </row>
        <row r="45">
          <cell r="B45" t="str">
            <v>Não binário</v>
          </cell>
        </row>
        <row r="48">
          <cell r="B48" t="str">
            <v>Sim</v>
          </cell>
        </row>
        <row r="49">
          <cell r="B49" t="str">
            <v>Não</v>
          </cell>
        </row>
        <row r="50">
          <cell r="B50" t="str">
            <v>Selecionar</v>
          </cell>
        </row>
        <row r="82">
          <cell r="B82" t="str">
            <v>Selecionar</v>
          </cell>
        </row>
        <row r="83">
          <cell r="B83" t="str">
            <v>Tipo de RH 1</v>
          </cell>
        </row>
        <row r="84">
          <cell r="B84" t="str">
            <v>Tipo de RH 2</v>
          </cell>
        </row>
        <row r="85">
          <cell r="B85" t="str">
            <v>Tipo de RH 3</v>
          </cell>
        </row>
        <row r="86">
          <cell r="B86" t="str">
            <v>Tipo de RH 4</v>
          </cell>
        </row>
        <row r="87">
          <cell r="B87" t="str">
            <v>Tipo de RH 5</v>
          </cell>
        </row>
        <row r="88">
          <cell r="B88" t="str">
            <v>Tipo de RH 6</v>
          </cell>
        </row>
        <row r="89">
          <cell r="B89" t="str">
            <v>Tipo de RH 7</v>
          </cell>
        </row>
        <row r="90">
          <cell r="B90" t="str">
            <v>Tipo de RH 8</v>
          </cell>
        </row>
        <row r="91">
          <cell r="B91" t="str">
            <v>Tipo de RH 9</v>
          </cell>
        </row>
        <row r="92">
          <cell r="B92" t="str">
            <v>Tipo de RH 10</v>
          </cell>
        </row>
        <row r="93">
          <cell r="B93" t="str">
            <v>Tipo de RH 11</v>
          </cell>
        </row>
        <row r="94">
          <cell r="B94" t="str">
            <v>Tipo de RH 12</v>
          </cell>
        </row>
        <row r="95">
          <cell r="B95" t="str">
            <v>Tipo de RH 13</v>
          </cell>
        </row>
        <row r="96">
          <cell r="B96" t="str">
            <v>Tipo de RH 14</v>
          </cell>
        </row>
        <row r="97">
          <cell r="B97" t="str">
            <v>Tipo de RH 15</v>
          </cell>
        </row>
        <row r="100">
          <cell r="B100" t="str">
            <v>Nível 1 - 2.º ciclo do ensino básico</v>
          </cell>
        </row>
        <row r="101">
          <cell r="B101" t="str">
            <v>Nível 2 - 3.º ciclo do ensino básico, obtido no ensino regular ou por percursos de dupla certificação</v>
          </cell>
        </row>
        <row r="102">
          <cell r="B102" t="str">
            <v>Nível 3 - Ensino secundário vocacionado para o prosseguimento de estudos a nível superior</v>
          </cell>
        </row>
        <row r="103">
          <cell r="B103" t="str">
            <v>Nível 4 - Ensino secundário obtido por percursos de dupla certificação ou ensino secundário vocacionado para o prosseguimento de estudos a nível superior acrescido de estágio profissional – mínimo de seis meses</v>
          </cell>
        </row>
        <row r="104">
          <cell r="B104" t="str">
            <v>Nível 5 - Qualificação de nível pós-secundário não superior com créditos para o prosseguimento de estudos a nível superior</v>
          </cell>
        </row>
        <row r="105">
          <cell r="B105" t="str">
            <v>Nível 6 - Licenciatura</v>
          </cell>
        </row>
        <row r="106">
          <cell r="B106" t="str">
            <v>Nível 7 - Mestrado</v>
          </cell>
        </row>
        <row r="107">
          <cell r="B107" t="str">
            <v>Nível 8 - Doutoramento</v>
          </cell>
        </row>
        <row r="108">
          <cell r="B108" t="str">
            <v>Selecionar nível de qualificação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1"/>
      <sheetName val="Recursos Humanos"/>
      <sheetName val="Equipamento"/>
      <sheetName val="Orçamento"/>
    </sheetNames>
    <sheetDataSet>
      <sheetData sheetId="0" refreshError="1">
        <row r="18">
          <cell r="A18" t="str">
            <v>Nível I - NR 28</v>
          </cell>
        </row>
        <row r="19">
          <cell r="A19" t="str">
            <v>Nível I - NR 29</v>
          </cell>
        </row>
        <row r="20">
          <cell r="A20" t="str">
            <v>Nível I - NR 30</v>
          </cell>
        </row>
        <row r="21">
          <cell r="A21" t="str">
            <v>Nível I - NR 31</v>
          </cell>
        </row>
        <row r="22">
          <cell r="A22" t="str">
            <v>Nível I - NR 32</v>
          </cell>
        </row>
        <row r="23">
          <cell r="A23" t="str">
            <v>Nível I - NR 33</v>
          </cell>
        </row>
        <row r="24">
          <cell r="A24" t="str">
            <v>Nível I - NR 34</v>
          </cell>
        </row>
        <row r="25">
          <cell r="A25" t="str">
            <v>Nível I - NR 35</v>
          </cell>
        </row>
        <row r="26">
          <cell r="A26" t="str">
            <v>Nível I - NR 36</v>
          </cell>
        </row>
        <row r="27">
          <cell r="A27" t="str">
            <v>Nível I - NR 37</v>
          </cell>
        </row>
        <row r="28">
          <cell r="A28" t="str">
            <v>Nível I - NR 38</v>
          </cell>
        </row>
        <row r="29">
          <cell r="A29" t="str">
            <v>Nível I - NR 39</v>
          </cell>
        </row>
        <row r="30">
          <cell r="A30" t="str">
            <v>Nível I - NR 40</v>
          </cell>
        </row>
        <row r="31">
          <cell r="A31" t="str">
            <v>Nível I - NR 41</v>
          </cell>
        </row>
        <row r="32">
          <cell r="A32" t="str">
            <v>Nível I - NR 42</v>
          </cell>
        </row>
        <row r="33">
          <cell r="A33" t="str">
            <v>Nível I - NR 43</v>
          </cell>
        </row>
        <row r="34">
          <cell r="A34" t="str">
            <v>Nível I - NR 44</v>
          </cell>
        </row>
        <row r="35">
          <cell r="A35" t="str">
            <v>Nível I - NR 45</v>
          </cell>
        </row>
        <row r="36">
          <cell r="A36" t="str">
            <v>Nível I - NR 46</v>
          </cell>
        </row>
        <row r="37">
          <cell r="A37" t="str">
            <v>Nível I - NR 47</v>
          </cell>
        </row>
        <row r="38">
          <cell r="A38" t="str">
            <v>Nível I - NR 48</v>
          </cell>
        </row>
        <row r="39">
          <cell r="A39" t="str">
            <v>Nível I - NR 49</v>
          </cell>
        </row>
        <row r="40">
          <cell r="A40" t="str">
            <v>Nível I - NR 50</v>
          </cell>
        </row>
        <row r="41">
          <cell r="A41" t="str">
            <v>Nível I - NR 51</v>
          </cell>
        </row>
        <row r="42">
          <cell r="A42" t="str">
            <v>Nível I - NR 52</v>
          </cell>
        </row>
        <row r="43">
          <cell r="A43" t="str">
            <v>Nível I - NR 53</v>
          </cell>
        </row>
        <row r="44">
          <cell r="A44" t="str">
            <v>Nível II - NR 37</v>
          </cell>
        </row>
        <row r="45">
          <cell r="A45" t="str">
            <v>Nível II - NR 38</v>
          </cell>
        </row>
        <row r="46">
          <cell r="A46" t="str">
            <v>Nível II - NR 39</v>
          </cell>
        </row>
        <row r="47">
          <cell r="A47" t="str">
            <v>Nível II - NR 40</v>
          </cell>
        </row>
        <row r="48">
          <cell r="A48" t="str">
            <v>Nível II - NR 41</v>
          </cell>
        </row>
        <row r="49">
          <cell r="A49" t="str">
            <v>Nível II - NR 42</v>
          </cell>
        </row>
        <row r="50">
          <cell r="A50" t="str">
            <v>Nível II - NR 43</v>
          </cell>
        </row>
        <row r="51">
          <cell r="A51" t="str">
            <v>Nível II - NR 44</v>
          </cell>
        </row>
        <row r="52">
          <cell r="A52" t="str">
            <v>Nível II - NR 45</v>
          </cell>
        </row>
        <row r="53">
          <cell r="A53" t="str">
            <v>Nível II - NR 46</v>
          </cell>
        </row>
        <row r="54">
          <cell r="A54" t="str">
            <v>Nível II - NR 47</v>
          </cell>
        </row>
        <row r="55">
          <cell r="A55" t="str">
            <v>Nível II - NR 48</v>
          </cell>
        </row>
        <row r="56">
          <cell r="A56" t="str">
            <v>Nível II - NR 49</v>
          </cell>
        </row>
        <row r="57">
          <cell r="A57" t="str">
            <v>Nível II - NR 50</v>
          </cell>
        </row>
        <row r="58">
          <cell r="A58" t="str">
            <v>Nível II - NR 51</v>
          </cell>
        </row>
        <row r="59">
          <cell r="A59" t="str">
            <v>Nível II - NR 52</v>
          </cell>
        </row>
        <row r="60">
          <cell r="A60" t="str">
            <v>Nível II - NR 53</v>
          </cell>
        </row>
        <row r="61">
          <cell r="A61" t="str">
            <v>Nível III - NR 54</v>
          </cell>
        </row>
        <row r="62">
          <cell r="A62" t="str">
            <v>Nível III - NR 55</v>
          </cell>
        </row>
        <row r="63">
          <cell r="A63" t="str">
            <v>Nível III - NR 56</v>
          </cell>
        </row>
        <row r="64">
          <cell r="A64" t="str">
            <v>Nível III - NR 57</v>
          </cell>
        </row>
        <row r="65">
          <cell r="A65" t="str">
            <v>Nível III - NR 58</v>
          </cell>
        </row>
        <row r="66">
          <cell r="A66" t="str">
            <v>Nível III - NR 59</v>
          </cell>
        </row>
        <row r="67">
          <cell r="A67" t="str">
            <v>Nível III - NR 60</v>
          </cell>
        </row>
        <row r="68">
          <cell r="A68" t="str">
            <v>Nível III - NR 61</v>
          </cell>
        </row>
        <row r="69">
          <cell r="A69" t="str">
            <v>Nível IV - NR 62</v>
          </cell>
        </row>
        <row r="70">
          <cell r="A70" t="str">
            <v>Nível IV - NR 63</v>
          </cell>
        </row>
        <row r="71">
          <cell r="A71" t="str">
            <v>Nível IV - NR 64</v>
          </cell>
        </row>
        <row r="72">
          <cell r="A72" t="str">
            <v>Nível IV - NR 65</v>
          </cell>
        </row>
        <row r="73">
          <cell r="A73" t="str">
            <v>Nível IV - NR 66</v>
          </cell>
        </row>
        <row r="74">
          <cell r="A74" t="str">
            <v>Nível IV - NR 67</v>
          </cell>
        </row>
        <row r="75">
          <cell r="A75" t="str">
            <v>Nível IV - NR 68</v>
          </cell>
        </row>
        <row r="76">
          <cell r="A76" t="str">
            <v>Nível IV - NR 69</v>
          </cell>
        </row>
        <row r="77">
          <cell r="A77" t="str">
            <v>Nível IV - NR 70</v>
          </cell>
        </row>
        <row r="78">
          <cell r="A78" t="str">
            <v>Nível IV - NR 71</v>
          </cell>
        </row>
        <row r="79">
          <cell r="A79" t="str">
            <v>Nível IV - NR 72</v>
          </cell>
        </row>
        <row r="80">
          <cell r="A80" t="str">
            <v>Nível IV - NR 73</v>
          </cell>
        </row>
        <row r="81">
          <cell r="A81" t="str">
            <v>Nível IV - NR 74</v>
          </cell>
        </row>
        <row r="82">
          <cell r="A82" t="str">
            <v>Nível IV - NR 75</v>
          </cell>
        </row>
        <row r="83">
          <cell r="A83" t="str">
            <v>Nível IV - NR 76</v>
          </cell>
        </row>
        <row r="84">
          <cell r="A84" t="str">
            <v>Nível IV - NR 77</v>
          </cell>
        </row>
        <row r="85">
          <cell r="A85" t="str">
            <v>Nível IV - NR 78</v>
          </cell>
        </row>
        <row r="86">
          <cell r="A86" t="str">
            <v>Nível IV - NR 79</v>
          </cell>
        </row>
        <row r="87">
          <cell r="A87" t="str">
            <v>Nível IV - NR 80</v>
          </cell>
        </row>
        <row r="88">
          <cell r="A88" t="str">
            <v>Nível IV - NR 81</v>
          </cell>
        </row>
        <row r="89">
          <cell r="A89" t="str">
            <v>Nível IV - NR 82</v>
          </cell>
        </row>
        <row r="90">
          <cell r="A90" t="str">
            <v>Sem Contrato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1"/>
      <sheetName val="Recursos Humanos"/>
      <sheetName val="Equipamento"/>
      <sheetName val="Orçamento"/>
    </sheetNames>
    <sheetDataSet>
      <sheetData sheetId="0">
        <row r="18">
          <cell r="A18" t="str">
            <v>Nível I - NR 28</v>
          </cell>
        </row>
        <row r="19">
          <cell r="A19" t="str">
            <v>Nível I - NR 29</v>
          </cell>
        </row>
        <row r="20">
          <cell r="A20" t="str">
            <v>Nível I - NR 30</v>
          </cell>
        </row>
        <row r="21">
          <cell r="A21" t="str">
            <v>Nível I - NR 31</v>
          </cell>
        </row>
        <row r="22">
          <cell r="A22" t="str">
            <v>Nível I - NR 32</v>
          </cell>
        </row>
        <row r="23">
          <cell r="A23" t="str">
            <v>Nível I - NR 33</v>
          </cell>
        </row>
        <row r="24">
          <cell r="A24" t="str">
            <v>Nível I - NR 34</v>
          </cell>
        </row>
        <row r="25">
          <cell r="A25" t="str">
            <v>Nível I - NR 35</v>
          </cell>
        </row>
        <row r="26">
          <cell r="A26" t="str">
            <v>Nível I - NR 36</v>
          </cell>
        </row>
        <row r="27">
          <cell r="A27" t="str">
            <v>Nível I - NR 37</v>
          </cell>
        </row>
        <row r="28">
          <cell r="A28" t="str">
            <v>Nível I - NR 38</v>
          </cell>
        </row>
        <row r="29">
          <cell r="A29" t="str">
            <v>Nível I - NR 39</v>
          </cell>
        </row>
        <row r="30">
          <cell r="A30" t="str">
            <v>Nível I - NR 40</v>
          </cell>
        </row>
        <row r="31">
          <cell r="A31" t="str">
            <v>Nível I - NR 41</v>
          </cell>
        </row>
        <row r="32">
          <cell r="A32" t="str">
            <v>Nível I - NR 42</v>
          </cell>
        </row>
        <row r="33">
          <cell r="A33" t="str">
            <v>Nível I - NR 43</v>
          </cell>
        </row>
        <row r="34">
          <cell r="A34" t="str">
            <v>Nível I - NR 44</v>
          </cell>
        </row>
        <row r="35">
          <cell r="A35" t="str">
            <v>Nível I - NR 45</v>
          </cell>
        </row>
        <row r="36">
          <cell r="A36" t="str">
            <v>Nível I - NR 46</v>
          </cell>
        </row>
        <row r="37">
          <cell r="A37" t="str">
            <v>Nível I - NR 47</v>
          </cell>
        </row>
        <row r="38">
          <cell r="A38" t="str">
            <v>Nível I - NR 48</v>
          </cell>
        </row>
        <row r="39">
          <cell r="A39" t="str">
            <v>Nível I - NR 49</v>
          </cell>
        </row>
        <row r="40">
          <cell r="A40" t="str">
            <v>Nível I - NR 50</v>
          </cell>
        </row>
        <row r="41">
          <cell r="A41" t="str">
            <v>Nível I - NR 51</v>
          </cell>
        </row>
        <row r="42">
          <cell r="A42" t="str">
            <v>Nível I - NR 52</v>
          </cell>
        </row>
        <row r="43">
          <cell r="A43" t="str">
            <v>Nível I - NR 53</v>
          </cell>
        </row>
        <row r="44">
          <cell r="A44" t="str">
            <v>Nível II - NR 37</v>
          </cell>
        </row>
        <row r="45">
          <cell r="A45" t="str">
            <v>Nível II - NR 38</v>
          </cell>
        </row>
        <row r="46">
          <cell r="A46" t="str">
            <v>Nível II - NR 39</v>
          </cell>
        </row>
        <row r="47">
          <cell r="A47" t="str">
            <v>Nível II - NR 40</v>
          </cell>
        </row>
        <row r="48">
          <cell r="A48" t="str">
            <v>Nível II - NR 41</v>
          </cell>
        </row>
        <row r="49">
          <cell r="A49" t="str">
            <v>Nível II - NR 42</v>
          </cell>
        </row>
        <row r="50">
          <cell r="A50" t="str">
            <v>Nível II - NR 43</v>
          </cell>
        </row>
        <row r="51">
          <cell r="A51" t="str">
            <v>Nível II - NR 44</v>
          </cell>
        </row>
        <row r="52">
          <cell r="A52" t="str">
            <v>Nível II - NR 45</v>
          </cell>
        </row>
        <row r="53">
          <cell r="A53" t="str">
            <v>Nível II - NR 46</v>
          </cell>
        </row>
        <row r="54">
          <cell r="A54" t="str">
            <v>Nível II - NR 47</v>
          </cell>
        </row>
        <row r="55">
          <cell r="A55" t="str">
            <v>Nível II - NR 48</v>
          </cell>
        </row>
        <row r="56">
          <cell r="A56" t="str">
            <v>Nível II - NR 49</v>
          </cell>
        </row>
        <row r="57">
          <cell r="A57" t="str">
            <v>Nível II - NR 50</v>
          </cell>
        </row>
        <row r="58">
          <cell r="A58" t="str">
            <v>Nível II - NR 51</v>
          </cell>
        </row>
        <row r="59">
          <cell r="A59" t="str">
            <v>Nível II - NR 52</v>
          </cell>
        </row>
        <row r="60">
          <cell r="A60" t="str">
            <v>Nível II - NR 53</v>
          </cell>
        </row>
        <row r="61">
          <cell r="A61" t="str">
            <v>Nível III - NR 54</v>
          </cell>
        </row>
        <row r="62">
          <cell r="A62" t="str">
            <v>Nível III - NR 55</v>
          </cell>
        </row>
        <row r="63">
          <cell r="A63" t="str">
            <v>Nível III - NR 56</v>
          </cell>
        </row>
        <row r="64">
          <cell r="A64" t="str">
            <v>Nível III - NR 57</v>
          </cell>
        </row>
        <row r="65">
          <cell r="A65" t="str">
            <v>Nível III - NR 58</v>
          </cell>
        </row>
        <row r="66">
          <cell r="A66" t="str">
            <v>Nível III - NR 59</v>
          </cell>
        </row>
        <row r="67">
          <cell r="A67" t="str">
            <v>Nível III - NR 60</v>
          </cell>
        </row>
        <row r="68">
          <cell r="A68" t="str">
            <v>Nível III - NR 61</v>
          </cell>
        </row>
        <row r="69">
          <cell r="A69" t="str">
            <v>Nível IV - NR 62</v>
          </cell>
        </row>
        <row r="70">
          <cell r="A70" t="str">
            <v>Nível IV - NR 63</v>
          </cell>
        </row>
        <row r="71">
          <cell r="A71" t="str">
            <v>Nível IV - NR 64</v>
          </cell>
        </row>
        <row r="72">
          <cell r="A72" t="str">
            <v>Nível IV - NR 65</v>
          </cell>
        </row>
        <row r="73">
          <cell r="A73" t="str">
            <v>Nível IV - NR 66</v>
          </cell>
        </row>
        <row r="74">
          <cell r="A74" t="str">
            <v>Nível IV - NR 67</v>
          </cell>
        </row>
        <row r="75">
          <cell r="A75" t="str">
            <v>Nível IV - NR 68</v>
          </cell>
        </row>
        <row r="76">
          <cell r="A76" t="str">
            <v>Nível IV - NR 69</v>
          </cell>
        </row>
        <row r="77">
          <cell r="A77" t="str">
            <v>Nível IV - NR 70</v>
          </cell>
        </row>
        <row r="78">
          <cell r="A78" t="str">
            <v>Nível IV - NR 71</v>
          </cell>
        </row>
        <row r="79">
          <cell r="A79" t="str">
            <v>Nível IV - NR 72</v>
          </cell>
        </row>
        <row r="80">
          <cell r="A80" t="str">
            <v>Nível IV - NR 73</v>
          </cell>
        </row>
        <row r="81">
          <cell r="A81" t="str">
            <v>Nível IV - NR 74</v>
          </cell>
        </row>
        <row r="82">
          <cell r="A82" t="str">
            <v>Nível IV - NR 75</v>
          </cell>
        </row>
        <row r="83">
          <cell r="A83" t="str">
            <v>Nível IV - NR 76</v>
          </cell>
        </row>
        <row r="84">
          <cell r="A84" t="str">
            <v>Nível IV - NR 77</v>
          </cell>
        </row>
        <row r="85">
          <cell r="A85" t="str">
            <v>Nível IV - NR 78</v>
          </cell>
        </row>
        <row r="86">
          <cell r="A86" t="str">
            <v>Nível IV - NR 79</v>
          </cell>
        </row>
        <row r="87">
          <cell r="A87" t="str">
            <v>Nível IV - NR 80</v>
          </cell>
        </row>
        <row r="88">
          <cell r="A88" t="str">
            <v>Nível IV - NR 81</v>
          </cell>
        </row>
        <row r="89">
          <cell r="A89" t="str">
            <v>Nível IV - NR 82</v>
          </cell>
        </row>
        <row r="90">
          <cell r="A90" t="str">
            <v>Sem Contrato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files.diariodarepublica.pt/2s/2019/12/241000000/0009100105.pd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0:N37"/>
  <sheetViews>
    <sheetView showGridLines="0" zoomScaleNormal="100" workbookViewId="0">
      <selection activeCell="E15" sqref="E15"/>
    </sheetView>
  </sheetViews>
  <sheetFormatPr defaultColWidth="8.7265625" defaultRowHeight="13"/>
  <cols>
    <col min="1" max="1" width="8.7265625" style="2"/>
    <col min="2" max="2" width="36.1796875" style="2" customWidth="1"/>
    <col min="3" max="4" width="20" style="2" customWidth="1"/>
    <col min="5" max="5" width="22.453125" style="2" customWidth="1"/>
    <col min="6" max="6" width="16.81640625" style="2" customWidth="1"/>
    <col min="7" max="7" width="14.1796875" style="2" customWidth="1"/>
    <col min="8" max="8" width="13.1796875" style="2" customWidth="1"/>
    <col min="9" max="9" width="11.81640625" style="2" customWidth="1"/>
    <col min="10" max="10" width="13.453125" style="2" customWidth="1"/>
    <col min="11" max="11" width="5.54296875" style="2" customWidth="1"/>
    <col min="12" max="12" width="11.453125" style="2" customWidth="1"/>
    <col min="13" max="13" width="5.26953125" style="2" bestFit="1" customWidth="1"/>
    <col min="14" max="14" width="5.7265625" style="2" bestFit="1" customWidth="1"/>
    <col min="15" max="15" width="4.7265625" style="2" bestFit="1" customWidth="1"/>
    <col min="16" max="46" width="3.453125" style="2" customWidth="1"/>
    <col min="47" max="16384" width="8.7265625" style="2"/>
  </cols>
  <sheetData>
    <row r="10" spans="2:14" ht="15.5">
      <c r="B10" s="89"/>
      <c r="C10" s="89"/>
      <c r="G10" s="99" t="s">
        <v>31</v>
      </c>
      <c r="H10" s="100">
        <v>4320</v>
      </c>
      <c r="I10" s="2" t="s">
        <v>32</v>
      </c>
    </row>
    <row r="11" spans="2:14">
      <c r="B11" s="88" t="s">
        <v>33</v>
      </c>
      <c r="C11" s="88"/>
    </row>
    <row r="12" spans="2:14">
      <c r="F12" s="659" t="s">
        <v>30</v>
      </c>
      <c r="G12" s="659"/>
      <c r="H12" s="659"/>
      <c r="I12" s="659"/>
      <c r="J12" s="659"/>
    </row>
    <row r="13" spans="2:14" ht="26">
      <c r="B13" s="91" t="s">
        <v>34</v>
      </c>
      <c r="C13" s="111" t="s">
        <v>140</v>
      </c>
      <c r="D13" s="91" t="s">
        <v>35</v>
      </c>
      <c r="E13" s="91" t="s">
        <v>36</v>
      </c>
      <c r="F13" s="90">
        <v>2024</v>
      </c>
      <c r="G13" s="90">
        <v>2025</v>
      </c>
      <c r="H13" s="90">
        <v>2026</v>
      </c>
      <c r="I13" s="90">
        <v>2027</v>
      </c>
      <c r="J13" s="90" t="s">
        <v>37</v>
      </c>
    </row>
    <row r="14" spans="2:14">
      <c r="B14" s="2" t="s">
        <v>28</v>
      </c>
      <c r="C14" s="2" t="s">
        <v>23</v>
      </c>
      <c r="D14" s="2" t="s">
        <v>141</v>
      </c>
      <c r="E14" s="2" t="s">
        <v>133</v>
      </c>
      <c r="F14" s="97">
        <v>0</v>
      </c>
      <c r="G14" s="97" t="e">
        <f>SUMIF(CRONOGRAMA!#REF!,D14,CRONOGRAMA!#REF!)</f>
        <v>#REF!</v>
      </c>
      <c r="H14" s="97" t="e">
        <f>SUMIF(CRONOGRAMA!#REF!,D14,CRONOGRAMA!#REF!)</f>
        <v>#REF!</v>
      </c>
      <c r="I14" s="97" t="e">
        <f>SUMIF(CRONOGRAMA!#REF!,D14,CRONOGRAMA!#REF!)</f>
        <v>#REF!</v>
      </c>
      <c r="J14" s="98" t="e">
        <f>SUM(F14:I14)</f>
        <v>#REF!</v>
      </c>
    </row>
    <row r="15" spans="2:14">
      <c r="B15" s="96" t="s">
        <v>28</v>
      </c>
      <c r="C15" s="96" t="s">
        <v>23</v>
      </c>
      <c r="D15" s="96" t="s">
        <v>142</v>
      </c>
      <c r="E15" s="96" t="s">
        <v>133</v>
      </c>
      <c r="F15" s="97">
        <v>0</v>
      </c>
      <c r="G15" s="102" t="e">
        <f>SUMIF(CRONOGRAMA!#REF!,D15,CRONOGRAMA!#REF!)</f>
        <v>#REF!</v>
      </c>
      <c r="H15" s="102" t="e">
        <f>SUMIF(CRONOGRAMA!#REF!,D15,CRONOGRAMA!#REF!)</f>
        <v>#REF!</v>
      </c>
      <c r="I15" s="102" t="e">
        <f>SUMIF(CRONOGRAMA!#REF!,D15,CRONOGRAMA!#REF!)</f>
        <v>#REF!</v>
      </c>
      <c r="J15" s="103" t="e">
        <f>SUM(F15:I15)</f>
        <v>#REF!</v>
      </c>
      <c r="N15" s="93"/>
    </row>
    <row r="16" spans="2:14">
      <c r="B16" s="96"/>
      <c r="C16" s="96"/>
      <c r="D16" s="96"/>
      <c r="E16" s="96"/>
      <c r="F16" s="97">
        <v>0</v>
      </c>
      <c r="G16" s="102" t="e">
        <f>SUMIF(CRONOGRAMA!#REF!,D16,CRONOGRAMA!#REF!)</f>
        <v>#REF!</v>
      </c>
      <c r="H16" s="102" t="e">
        <f>SUMIF(CRONOGRAMA!#REF!,D16,CRONOGRAMA!#REF!)</f>
        <v>#REF!</v>
      </c>
      <c r="I16" s="102" t="e">
        <f>SUMIF(CRONOGRAMA!#REF!,D16,CRONOGRAMA!#REF!)</f>
        <v>#REF!</v>
      </c>
      <c r="J16" s="103" t="e">
        <f t="shared" ref="J16:J27" si="0">SUM(F16:I16)</f>
        <v>#REF!</v>
      </c>
      <c r="K16" s="2" t="s">
        <v>139</v>
      </c>
      <c r="N16" s="93"/>
    </row>
    <row r="17" spans="2:14">
      <c r="B17" s="96"/>
      <c r="C17" s="96"/>
      <c r="D17" s="96"/>
      <c r="E17" s="96"/>
      <c r="F17" s="97">
        <v>0</v>
      </c>
      <c r="G17" s="102" t="e">
        <f>SUMIF(CRONOGRAMA!#REF!,D17,CRONOGRAMA!#REF!)</f>
        <v>#REF!</v>
      </c>
      <c r="H17" s="102" t="e">
        <f>SUMIF(CRONOGRAMA!#REF!,D17,CRONOGRAMA!#REF!)</f>
        <v>#REF!</v>
      </c>
      <c r="I17" s="102" t="e">
        <f>SUMIF(CRONOGRAMA!#REF!,D17,CRONOGRAMA!#REF!)</f>
        <v>#REF!</v>
      </c>
      <c r="J17" s="103" t="e">
        <f t="shared" si="0"/>
        <v>#REF!</v>
      </c>
      <c r="N17" s="93"/>
    </row>
    <row r="18" spans="2:14">
      <c r="B18" s="96"/>
      <c r="C18" s="96"/>
      <c r="D18" s="96"/>
      <c r="E18" s="96"/>
      <c r="F18" s="97">
        <v>0</v>
      </c>
      <c r="G18" s="102" t="e">
        <f>SUMIF(CRONOGRAMA!#REF!,D18,CRONOGRAMA!#REF!)</f>
        <v>#REF!</v>
      </c>
      <c r="H18" s="102" t="e">
        <f>SUMIF(CRONOGRAMA!#REF!,D18,CRONOGRAMA!#REF!)</f>
        <v>#REF!</v>
      </c>
      <c r="I18" s="102" t="e">
        <f>SUMIF(CRONOGRAMA!#REF!,D18,CRONOGRAMA!#REF!)</f>
        <v>#REF!</v>
      </c>
      <c r="J18" s="103" t="e">
        <f t="shared" si="0"/>
        <v>#REF!</v>
      </c>
      <c r="N18" s="93"/>
    </row>
    <row r="19" spans="2:14">
      <c r="B19" s="96"/>
      <c r="C19" s="96"/>
      <c r="D19" s="96"/>
      <c r="E19" s="96"/>
      <c r="F19" s="97">
        <v>0</v>
      </c>
      <c r="G19" s="102" t="e">
        <f>SUMIF(CRONOGRAMA!#REF!,D19,CRONOGRAMA!#REF!)</f>
        <v>#REF!</v>
      </c>
      <c r="H19" s="102" t="e">
        <f>SUMIF(CRONOGRAMA!#REF!,D19,CRONOGRAMA!#REF!)</f>
        <v>#REF!</v>
      </c>
      <c r="I19" s="102" t="e">
        <f>SUMIF(CRONOGRAMA!#REF!,D19,CRONOGRAMA!#REF!)</f>
        <v>#REF!</v>
      </c>
      <c r="J19" s="103" t="e">
        <f t="shared" si="0"/>
        <v>#REF!</v>
      </c>
    </row>
    <row r="20" spans="2:14">
      <c r="B20" s="96"/>
      <c r="C20" s="96"/>
      <c r="D20" s="96"/>
      <c r="E20" s="96"/>
      <c r="F20" s="97">
        <v>0</v>
      </c>
      <c r="G20" s="102" t="e">
        <f>SUMIF(CRONOGRAMA!#REF!,D20,CRONOGRAMA!#REF!)</f>
        <v>#REF!</v>
      </c>
      <c r="H20" s="102" t="e">
        <f>SUMIF(CRONOGRAMA!#REF!,D20,CRONOGRAMA!#REF!)</f>
        <v>#REF!</v>
      </c>
      <c r="I20" s="102" t="e">
        <f>SUMIF(CRONOGRAMA!#REF!,D20,CRONOGRAMA!#REF!)</f>
        <v>#REF!</v>
      </c>
      <c r="J20" s="103" t="e">
        <f>SUM(F20:I20)</f>
        <v>#REF!</v>
      </c>
    </row>
    <row r="21" spans="2:14">
      <c r="B21" s="96"/>
      <c r="C21" s="96"/>
      <c r="D21" s="96"/>
      <c r="E21" s="96"/>
      <c r="F21" s="97">
        <v>0</v>
      </c>
      <c r="G21" s="102" t="e">
        <f>SUMIF(CRONOGRAMA!#REF!,D21,CRONOGRAMA!#REF!)</f>
        <v>#REF!</v>
      </c>
      <c r="H21" s="102" t="e">
        <f>SUMIF(CRONOGRAMA!#REF!,D21,CRONOGRAMA!#REF!)</f>
        <v>#REF!</v>
      </c>
      <c r="I21" s="102" t="e">
        <f>SUMIF(CRONOGRAMA!#REF!,D21,CRONOGRAMA!#REF!)</f>
        <v>#REF!</v>
      </c>
      <c r="J21" s="103" t="e">
        <f t="shared" si="0"/>
        <v>#REF!</v>
      </c>
      <c r="K21" s="2" t="s">
        <v>139</v>
      </c>
    </row>
    <row r="22" spans="2:14">
      <c r="B22" s="96"/>
      <c r="C22" s="96"/>
      <c r="D22" s="96"/>
      <c r="E22" s="96"/>
      <c r="F22" s="97">
        <v>0</v>
      </c>
      <c r="G22" s="102" t="e">
        <f>SUMIF(CRONOGRAMA!#REF!,D22,CRONOGRAMA!#REF!)</f>
        <v>#REF!</v>
      </c>
      <c r="H22" s="102" t="e">
        <f>SUMIF(CRONOGRAMA!#REF!,D22,CRONOGRAMA!#REF!)</f>
        <v>#REF!</v>
      </c>
      <c r="I22" s="102" t="e">
        <f>SUMIF(CRONOGRAMA!#REF!,D22,CRONOGRAMA!#REF!)</f>
        <v>#REF!</v>
      </c>
      <c r="J22" s="103" t="e">
        <f t="shared" si="0"/>
        <v>#REF!</v>
      </c>
    </row>
    <row r="23" spans="2:14">
      <c r="B23" s="96"/>
      <c r="C23" s="96"/>
      <c r="D23" s="96"/>
      <c r="E23" s="96"/>
      <c r="F23" s="97">
        <v>0</v>
      </c>
      <c r="G23" s="102" t="e">
        <f>SUMIF(CRONOGRAMA!#REF!,D23,CRONOGRAMA!#REF!)</f>
        <v>#REF!</v>
      </c>
      <c r="H23" s="102" t="e">
        <f>SUMIF(CRONOGRAMA!#REF!,D23,CRONOGRAMA!#REF!)</f>
        <v>#REF!</v>
      </c>
      <c r="I23" s="102" t="e">
        <f>SUMIF(CRONOGRAMA!#REF!,D23,CRONOGRAMA!#REF!)</f>
        <v>#REF!</v>
      </c>
      <c r="J23" s="103" t="e">
        <f t="shared" si="0"/>
        <v>#REF!</v>
      </c>
    </row>
    <row r="24" spans="2:14">
      <c r="B24" s="96"/>
      <c r="C24" s="96"/>
      <c r="D24" s="96"/>
      <c r="E24" s="96"/>
      <c r="F24" s="97">
        <v>0</v>
      </c>
      <c r="G24" s="102" t="e">
        <f>SUMIF(CRONOGRAMA!#REF!,D24,CRONOGRAMA!#REF!)</f>
        <v>#REF!</v>
      </c>
      <c r="H24" s="102" t="e">
        <f>SUMIF(CRONOGRAMA!#REF!,D24,CRONOGRAMA!#REF!)</f>
        <v>#REF!</v>
      </c>
      <c r="I24" s="102" t="e">
        <f>SUMIF(CRONOGRAMA!#REF!,D24,CRONOGRAMA!#REF!)</f>
        <v>#REF!</v>
      </c>
      <c r="J24" s="103" t="e">
        <f t="shared" si="0"/>
        <v>#REF!</v>
      </c>
    </row>
    <row r="25" spans="2:14">
      <c r="B25" s="96"/>
      <c r="C25" s="96"/>
      <c r="D25" s="96"/>
      <c r="E25" s="96"/>
      <c r="F25" s="97">
        <v>0</v>
      </c>
      <c r="G25" s="102" t="e">
        <f>SUMIF(CRONOGRAMA!#REF!,D25,CRONOGRAMA!#REF!)</f>
        <v>#REF!</v>
      </c>
      <c r="H25" s="102" t="e">
        <f>SUMIF(CRONOGRAMA!#REF!,D25,CRONOGRAMA!#REF!)</f>
        <v>#REF!</v>
      </c>
      <c r="I25" s="102" t="e">
        <f>SUMIF(CRONOGRAMA!#REF!,D25,CRONOGRAMA!#REF!)</f>
        <v>#REF!</v>
      </c>
      <c r="J25" s="103" t="e">
        <f t="shared" si="0"/>
        <v>#REF!</v>
      </c>
    </row>
    <row r="26" spans="2:14">
      <c r="B26" s="96"/>
      <c r="C26" s="96"/>
      <c r="D26" s="96"/>
      <c r="E26" s="96"/>
      <c r="F26" s="97">
        <v>0</v>
      </c>
      <c r="G26" s="102" t="e">
        <f>SUMIF(CRONOGRAMA!#REF!,D26,CRONOGRAMA!#REF!)</f>
        <v>#REF!</v>
      </c>
      <c r="H26" s="102" t="e">
        <f>SUMIF(CRONOGRAMA!#REF!,D26,CRONOGRAMA!#REF!)</f>
        <v>#REF!</v>
      </c>
      <c r="I26" s="102" t="e">
        <f>SUMIF(CRONOGRAMA!#REF!,D26,CRONOGRAMA!#REF!)</f>
        <v>#REF!</v>
      </c>
      <c r="J26" s="103" t="e">
        <f t="shared" si="0"/>
        <v>#REF!</v>
      </c>
    </row>
    <row r="27" spans="2:14">
      <c r="F27" s="97">
        <v>0</v>
      </c>
      <c r="G27" s="97" t="e">
        <f>SUMIF(CRONOGRAMA!#REF!,D27,CRONOGRAMA!#REF!)</f>
        <v>#REF!</v>
      </c>
      <c r="H27" s="97" t="e">
        <f>SUMIF(CRONOGRAMA!#REF!,D27,CRONOGRAMA!#REF!)</f>
        <v>#REF!</v>
      </c>
      <c r="I27" s="97" t="e">
        <f>SUMIF(CRONOGRAMA!#REF!,D27,CRONOGRAMA!#REF!)</f>
        <v>#REF!</v>
      </c>
      <c r="J27" s="98" t="e">
        <f t="shared" si="0"/>
        <v>#REF!</v>
      </c>
    </row>
    <row r="28" spans="2:14">
      <c r="B28" s="92"/>
      <c r="C28" s="92"/>
      <c r="D28" s="92"/>
      <c r="E28" s="101" t="s">
        <v>25</v>
      </c>
      <c r="F28" s="97">
        <v>0</v>
      </c>
      <c r="G28" s="94" t="e">
        <f>SUM(G14:G27)</f>
        <v>#REF!</v>
      </c>
      <c r="H28" s="94" t="e">
        <f>SUM(H14:H27)</f>
        <v>#REF!</v>
      </c>
      <c r="I28" s="94" t="e">
        <f>SUM(I14:I27)</f>
        <v>#REF!</v>
      </c>
      <c r="J28" s="95" t="e">
        <f>SUM(J14:J27)</f>
        <v>#REF!</v>
      </c>
      <c r="K28" s="110" t="e">
        <f>J28-J16-J21</f>
        <v>#REF!</v>
      </c>
    </row>
    <row r="29" spans="2:14">
      <c r="E29" s="2" t="s">
        <v>38</v>
      </c>
      <c r="F29" s="5"/>
      <c r="G29" s="5"/>
      <c r="H29" s="5"/>
      <c r="I29" s="5"/>
      <c r="J29" s="100"/>
    </row>
    <row r="31" spans="2:14">
      <c r="B31" s="2" t="s">
        <v>39</v>
      </c>
    </row>
    <row r="33" spans="2:6">
      <c r="B33" s="91" t="s">
        <v>34</v>
      </c>
      <c r="C33" s="91"/>
      <c r="D33" s="91" t="s">
        <v>30</v>
      </c>
      <c r="E33" s="91" t="s">
        <v>40</v>
      </c>
    </row>
    <row r="34" spans="2:6">
      <c r="B34" s="2" t="e">
        <f>+CRONOGRAMA!#REF!</f>
        <v>#REF!</v>
      </c>
      <c r="D34" s="93">
        <f>SUMIFS($J$14:$J$27,$B$14:$B$27,B34,$C$14:$C$27,"Sim")</f>
        <v>0</v>
      </c>
      <c r="E34" s="5">
        <f>+D34*H10</f>
        <v>0</v>
      </c>
      <c r="F34" s="2" t="s">
        <v>41</v>
      </c>
    </row>
    <row r="35" spans="2:6">
      <c r="B35" s="2" t="e">
        <f>+CRONOGRAMA!#REF!</f>
        <v>#REF!</v>
      </c>
      <c r="D35" s="93">
        <f>SUMIFS($J$14:$J$27,$B$14:$B$27,B35,$C$14:$C$27,"Sim")</f>
        <v>0</v>
      </c>
      <c r="E35" s="5">
        <f>+D35*$H$10</f>
        <v>0</v>
      </c>
    </row>
    <row r="36" spans="2:6">
      <c r="B36" s="2" t="e">
        <f>+CRONOGRAMA!#REF!</f>
        <v>#REF!</v>
      </c>
      <c r="D36" s="93">
        <f>SUMIFS($J$14:$J$27,$B$14:$B$27,B36,$C$14:$C$27,"Sim")</f>
        <v>0</v>
      </c>
      <c r="E36" s="5">
        <f>+D36*$H$10</f>
        <v>0</v>
      </c>
    </row>
    <row r="37" spans="2:6">
      <c r="B37" s="101" t="s">
        <v>25</v>
      </c>
      <c r="C37" s="101"/>
      <c r="D37" s="95">
        <f>SUM(D34:D35)</f>
        <v>0</v>
      </c>
      <c r="E37" s="107">
        <f>SUM(E34:E35)</f>
        <v>0</v>
      </c>
    </row>
  </sheetData>
  <mergeCells count="1">
    <mergeCell ref="F12:J1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'Valores bolsas e 57_2016'!$A$34:$A$37</xm:f>
          </x14:formula1>
          <xm:sqref>B14:B27</xm:sqref>
        </x14:dataValidation>
        <x14:dataValidation type="list" allowBlank="1" showInputMessage="1" showErrorMessage="1">
          <x14:formula1>
            <xm:f>'Valores bolsas e 57_2016'!$A$28:$A$31</xm:f>
          </x14:formula1>
          <xm:sqref>E14:E27</xm:sqref>
        </x14:dataValidation>
        <x14:dataValidation type="list" allowBlank="1" showInputMessage="1" showErrorMessage="1">
          <x14:formula1>
            <xm:f>RESUMO!$P$35:$P$44</xm:f>
          </x14:formula1>
          <xm:sqref>D14:D27</xm:sqref>
        </x14:dataValidation>
        <x14:dataValidation type="list" allowBlank="1" showInputMessage="1" showErrorMessage="1">
          <x14:formula1>
            <xm:f>'Valores bolsas e 57_2016'!$F$6:$F$8</xm:f>
          </x14:formula1>
          <xm:sqref>C14:C27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">
    <tabColor theme="9" tint="-0.249977111117893"/>
    <pageSetUpPr fitToPage="1"/>
  </sheetPr>
  <dimension ref="A1:R56"/>
  <sheetViews>
    <sheetView showGridLines="0" topLeftCell="A15" zoomScale="90" zoomScaleNormal="90" workbookViewId="0">
      <selection activeCell="E34" sqref="E34"/>
    </sheetView>
  </sheetViews>
  <sheetFormatPr defaultColWidth="9.1796875" defaultRowHeight="13" outlineLevelRow="1"/>
  <cols>
    <col min="1" max="1" width="2.453125" style="57" customWidth="1"/>
    <col min="2" max="2" width="1.453125" style="57" customWidth="1"/>
    <col min="3" max="3" width="27.54296875" style="57" customWidth="1"/>
    <col min="4" max="4" width="1.453125" style="57" customWidth="1"/>
    <col min="5" max="5" width="22.54296875" style="57" customWidth="1"/>
    <col min="6" max="6" width="15.26953125" style="57" customWidth="1"/>
    <col min="7" max="7" width="15.81640625" style="57" customWidth="1"/>
    <col min="8" max="8" width="18.1796875" style="57" customWidth="1"/>
    <col min="9" max="9" width="9.1796875" style="57"/>
    <col min="10" max="11" width="5.1796875" style="57" customWidth="1"/>
    <col min="12" max="13" width="11.453125" style="57" customWidth="1"/>
    <col min="14" max="15" width="6.54296875" style="57" customWidth="1"/>
    <col min="16" max="16" width="68.54296875" style="57" customWidth="1"/>
    <col min="17" max="17" width="26.1796875" style="57" customWidth="1"/>
    <col min="18" max="18" width="6.453125" style="57" customWidth="1"/>
    <col min="19" max="19" width="9.1796875" style="57"/>
    <col min="20" max="20" width="9.1796875" style="57" customWidth="1"/>
    <col min="21" max="16384" width="9.1796875" style="57"/>
  </cols>
  <sheetData>
    <row r="1" spans="1:16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6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</row>
    <row r="4" spans="1:16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spans="1:16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</row>
    <row r="6" spans="1:1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</row>
    <row r="7" spans="1:16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</row>
    <row r="8" spans="1:16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</row>
    <row r="9" spans="1:16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</row>
    <row r="10" spans="1:16" ht="42" customHeight="1">
      <c r="A10" s="62"/>
      <c r="B10" s="62"/>
      <c r="C10" s="669" t="s">
        <v>143</v>
      </c>
      <c r="D10" s="670"/>
      <c r="E10" s="670"/>
      <c r="F10" s="670"/>
      <c r="G10" s="670"/>
      <c r="H10" s="670"/>
      <c r="I10" s="670"/>
      <c r="J10" s="670"/>
      <c r="K10" s="670"/>
      <c r="L10" s="670"/>
      <c r="M10" s="670"/>
      <c r="N10" s="670"/>
      <c r="O10" s="670"/>
      <c r="P10" s="671"/>
    </row>
    <row r="11" spans="1:16">
      <c r="A11" s="62"/>
      <c r="B11" s="62"/>
      <c r="C11" s="672"/>
      <c r="D11" s="673"/>
      <c r="E11" s="673"/>
      <c r="F11" s="673"/>
      <c r="G11" s="673"/>
      <c r="H11" s="673"/>
      <c r="I11" s="673"/>
      <c r="J11" s="673"/>
      <c r="K11" s="673"/>
      <c r="L11" s="673"/>
      <c r="M11" s="673"/>
      <c r="N11" s="673"/>
      <c r="O11" s="673"/>
      <c r="P11" s="674"/>
    </row>
    <row r="12" spans="1:16">
      <c r="A12" s="62"/>
      <c r="B12" s="62"/>
      <c r="C12" s="675"/>
      <c r="D12" s="676"/>
      <c r="E12" s="676"/>
      <c r="F12" s="676"/>
      <c r="G12" s="676"/>
      <c r="H12" s="676"/>
      <c r="I12" s="676"/>
      <c r="J12" s="676"/>
      <c r="K12" s="676"/>
      <c r="L12" s="676"/>
      <c r="M12" s="676"/>
      <c r="N12" s="676"/>
      <c r="O12" s="676"/>
      <c r="P12" s="677"/>
    </row>
    <row r="13" spans="1:16">
      <c r="A13" s="62"/>
      <c r="B13" s="62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</row>
    <row r="14" spans="1:16" ht="147.75" customHeight="1">
      <c r="A14" s="62"/>
      <c r="B14" s="62"/>
      <c r="C14" s="688" t="s">
        <v>220</v>
      </c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689"/>
      <c r="O14" s="689"/>
      <c r="P14" s="690"/>
    </row>
    <row r="15" spans="1:16">
      <c r="A15" s="62"/>
      <c r="B15" s="62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</row>
    <row r="16" spans="1:16" ht="10.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129"/>
      <c r="P16" s="129"/>
    </row>
    <row r="17" spans="1:18" ht="28.5">
      <c r="A17" s="62"/>
      <c r="B17" s="62"/>
      <c r="C17" s="180" t="s">
        <v>0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78"/>
      <c r="P17" s="678"/>
    </row>
    <row r="18" spans="1:18" ht="10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</row>
    <row r="19" spans="1:18">
      <c r="A19" s="62"/>
      <c r="B19" s="62"/>
      <c r="C19" s="63" t="s">
        <v>157</v>
      </c>
      <c r="D19" s="62"/>
      <c r="E19" s="679" t="s">
        <v>219</v>
      </c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</row>
    <row r="20" spans="1:18" ht="5.15" customHeight="1"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</row>
    <row r="21" spans="1:18">
      <c r="C21" s="166" t="s">
        <v>158</v>
      </c>
      <c r="E21" s="683" t="s">
        <v>28</v>
      </c>
      <c r="F21" s="684"/>
      <c r="G21" s="684"/>
      <c r="H21" s="684"/>
      <c r="I21" s="684"/>
      <c r="J21" s="684"/>
      <c r="K21" s="684"/>
      <c r="L21" s="684"/>
      <c r="M21" s="685"/>
      <c r="N21" s="686" t="s">
        <v>161</v>
      </c>
      <c r="O21" s="687"/>
      <c r="P21" s="131"/>
    </row>
    <row r="22" spans="1:18" ht="5.15" customHeight="1"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</row>
    <row r="23" spans="1:18">
      <c r="C23" s="166" t="s">
        <v>2</v>
      </c>
      <c r="E23" s="681" t="s">
        <v>233</v>
      </c>
      <c r="F23" s="682"/>
      <c r="G23" s="682"/>
      <c r="H23" s="682"/>
      <c r="I23" s="682"/>
      <c r="J23" s="682"/>
      <c r="K23" s="682"/>
      <c r="L23" s="682"/>
      <c r="M23" s="682"/>
      <c r="N23" s="682"/>
      <c r="O23" s="682"/>
      <c r="P23" s="682"/>
      <c r="R23" s="106"/>
    </row>
    <row r="24" spans="1:18" ht="5.15" customHeight="1"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</row>
    <row r="25" spans="1:18">
      <c r="C25" s="166" t="s">
        <v>3</v>
      </c>
      <c r="E25" s="682"/>
      <c r="F25" s="682"/>
      <c r="G25" s="682"/>
      <c r="H25" s="682"/>
      <c r="I25" s="682"/>
      <c r="J25" s="682"/>
      <c r="K25" s="682"/>
      <c r="L25" s="682"/>
      <c r="M25" s="682"/>
      <c r="N25" s="682"/>
      <c r="O25" s="682"/>
      <c r="P25" s="682"/>
    </row>
    <row r="26" spans="1:18" ht="5.15" customHeight="1"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</row>
    <row r="27" spans="1:18">
      <c r="C27" s="166" t="s">
        <v>162</v>
      </c>
      <c r="E27" s="682" t="s">
        <v>221</v>
      </c>
      <c r="F27" s="682"/>
      <c r="G27" s="682"/>
      <c r="H27" s="682"/>
      <c r="I27" s="682"/>
      <c r="J27" s="682"/>
      <c r="K27" s="682"/>
      <c r="L27" s="682"/>
      <c r="M27" s="682"/>
      <c r="N27" s="682"/>
      <c r="O27" s="682"/>
      <c r="P27" s="682"/>
    </row>
    <row r="28" spans="1:18" ht="5.15" customHeight="1"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</row>
    <row r="29" spans="1:18">
      <c r="C29" s="166" t="s">
        <v>4</v>
      </c>
      <c r="E29" s="130"/>
      <c r="F29" s="60"/>
      <c r="G29" s="166" t="s">
        <v>5</v>
      </c>
      <c r="H29" s="694"/>
      <c r="I29" s="695"/>
      <c r="J29" s="695"/>
      <c r="K29" s="61"/>
      <c r="L29" s="61"/>
      <c r="M29" s="61"/>
      <c r="N29" s="61"/>
      <c r="O29" s="61"/>
      <c r="P29" s="61"/>
    </row>
    <row r="30" spans="1:18" ht="8.25" customHeight="1"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8" ht="13.5" customHeight="1">
      <c r="E31" s="59"/>
      <c r="F31" s="59"/>
      <c r="G31" s="59"/>
      <c r="H31" s="59"/>
      <c r="I31" s="58"/>
      <c r="J31" s="58"/>
      <c r="K31" s="58"/>
      <c r="L31" s="133"/>
      <c r="M31" s="134"/>
      <c r="N31" s="134"/>
      <c r="O31" s="134"/>
      <c r="P31" s="696"/>
    </row>
    <row r="32" spans="1:18">
      <c r="C32" s="64" t="s">
        <v>6</v>
      </c>
      <c r="E32" s="160">
        <v>46296</v>
      </c>
      <c r="F32" s="158" t="s">
        <v>190</v>
      </c>
      <c r="G32" s="59"/>
      <c r="H32" s="59"/>
      <c r="I32" s="58"/>
      <c r="J32" s="58"/>
      <c r="K32" s="58"/>
      <c r="L32" s="133"/>
      <c r="M32" s="134"/>
      <c r="N32" s="134"/>
      <c r="O32" s="134"/>
      <c r="P32" s="696"/>
    </row>
    <row r="33" spans="3:17" ht="24" customHeight="1">
      <c r="C33" s="64" t="s">
        <v>7</v>
      </c>
      <c r="E33" s="167">
        <v>36</v>
      </c>
      <c r="F33" s="158" t="s">
        <v>190</v>
      </c>
      <c r="G33" s="59"/>
      <c r="H33" s="59"/>
      <c r="I33" s="59"/>
      <c r="J33" s="59"/>
      <c r="K33" s="59"/>
      <c r="L33" s="134"/>
      <c r="M33" s="134"/>
      <c r="N33" s="134"/>
      <c r="O33" s="134"/>
      <c r="P33" s="134"/>
      <c r="Q33" s="150"/>
    </row>
    <row r="34" spans="3:17">
      <c r="C34" s="157" t="s">
        <v>8</v>
      </c>
      <c r="E34" s="181">
        <f>IF(E33=0,"",EDATE(E32,E33)-1)</f>
        <v>47391</v>
      </c>
      <c r="I34" s="693"/>
      <c r="J34" s="693"/>
      <c r="K34" s="693"/>
      <c r="L34" s="692"/>
      <c r="M34" s="692"/>
      <c r="N34" s="692"/>
      <c r="O34" s="697"/>
      <c r="P34" s="697"/>
      <c r="Q34" s="168"/>
    </row>
    <row r="35" spans="3:17">
      <c r="I35" s="665"/>
      <c r="J35" s="665"/>
      <c r="K35" s="665"/>
      <c r="L35" s="691"/>
      <c r="M35" s="691"/>
      <c r="N35" s="691"/>
      <c r="O35" s="152"/>
      <c r="P35" s="169"/>
      <c r="Q35" s="151"/>
    </row>
    <row r="36" spans="3:17">
      <c r="I36" s="665"/>
      <c r="J36" s="665"/>
      <c r="K36" s="665"/>
      <c r="L36" s="691"/>
      <c r="M36" s="691"/>
      <c r="N36" s="691"/>
      <c r="O36" s="152"/>
      <c r="P36" s="169"/>
      <c r="Q36" s="153"/>
    </row>
    <row r="37" spans="3:17" ht="28.5">
      <c r="C37" s="132" t="s">
        <v>195</v>
      </c>
      <c r="I37" s="665"/>
      <c r="J37" s="665"/>
      <c r="K37" s="665"/>
      <c r="L37" s="691"/>
      <c r="M37" s="691"/>
      <c r="N37" s="691"/>
      <c r="O37" s="152"/>
      <c r="P37" s="169"/>
      <c r="Q37" s="154"/>
    </row>
    <row r="38" spans="3:17">
      <c r="I38" s="665"/>
      <c r="J38" s="665"/>
      <c r="K38" s="665"/>
      <c r="L38" s="691"/>
      <c r="M38" s="691"/>
      <c r="N38" s="691"/>
      <c r="O38" s="152"/>
      <c r="P38" s="169"/>
      <c r="Q38" s="154"/>
    </row>
    <row r="39" spans="3:17">
      <c r="C39" s="666" t="s">
        <v>9</v>
      </c>
      <c r="D39" s="666"/>
      <c r="E39" s="666"/>
      <c r="F39" s="663">
        <f>+BUDGET!G34</f>
        <v>580219.19999999995</v>
      </c>
      <c r="G39" s="664"/>
      <c r="I39" s="58"/>
      <c r="J39" s="58"/>
      <c r="K39" s="58"/>
      <c r="L39" s="691"/>
      <c r="M39" s="691"/>
      <c r="N39" s="691"/>
      <c r="O39" s="152"/>
      <c r="P39" s="169"/>
      <c r="Q39" s="154"/>
    </row>
    <row r="40" spans="3:17">
      <c r="C40" s="660" t="s">
        <v>10</v>
      </c>
      <c r="D40" s="661"/>
      <c r="E40" s="662"/>
      <c r="F40" s="667">
        <v>0.25</v>
      </c>
      <c r="G40" s="668"/>
      <c r="H40" s="150"/>
      <c r="I40" s="58"/>
      <c r="J40" s="58"/>
      <c r="K40" s="58"/>
      <c r="L40" s="691"/>
      <c r="M40" s="691"/>
      <c r="N40" s="691"/>
      <c r="O40" s="152"/>
      <c r="P40" s="169"/>
      <c r="Q40" s="154"/>
    </row>
    <row r="41" spans="3:17">
      <c r="C41" s="660" t="s">
        <v>11</v>
      </c>
      <c r="D41" s="661"/>
      <c r="E41" s="662"/>
      <c r="F41" s="663">
        <f>+BUDGET!G33</f>
        <v>116043.84</v>
      </c>
      <c r="G41" s="664"/>
      <c r="H41" s="150"/>
      <c r="I41" s="58"/>
      <c r="J41" s="58"/>
      <c r="K41" s="58"/>
      <c r="L41" s="691"/>
      <c r="M41" s="691"/>
      <c r="N41" s="691"/>
      <c r="O41" s="152"/>
      <c r="P41" s="152"/>
      <c r="Q41" s="154"/>
    </row>
    <row r="42" spans="3:17" ht="12.75" customHeight="1">
      <c r="C42" s="170"/>
      <c r="D42" s="170"/>
      <c r="E42" s="170"/>
      <c r="F42" s="171"/>
      <c r="G42" s="155"/>
      <c r="H42" s="171"/>
      <c r="I42" s="58"/>
      <c r="J42" s="58"/>
      <c r="K42" s="58"/>
      <c r="L42" s="691"/>
      <c r="M42" s="691"/>
      <c r="N42" s="691"/>
      <c r="O42" s="152"/>
      <c r="P42" s="152"/>
      <c r="Q42" s="154"/>
    </row>
    <row r="43" spans="3:17" ht="12.75" customHeight="1">
      <c r="H43" s="156"/>
      <c r="I43" s="58"/>
      <c r="J43" s="58"/>
      <c r="K43" s="58"/>
      <c r="L43" s="691"/>
      <c r="M43" s="691"/>
      <c r="N43" s="691"/>
      <c r="O43" s="152"/>
      <c r="P43" s="152"/>
      <c r="Q43" s="154"/>
    </row>
    <row r="44" spans="3:17" ht="12.75" customHeight="1">
      <c r="H44" s="172"/>
      <c r="I44" s="58"/>
      <c r="J44" s="58"/>
      <c r="K44" s="58"/>
      <c r="L44" s="691"/>
      <c r="M44" s="691"/>
      <c r="N44" s="691"/>
      <c r="O44" s="152"/>
      <c r="P44" s="152"/>
      <c r="Q44" s="154"/>
    </row>
    <row r="45" spans="3:17" ht="12.75" customHeight="1">
      <c r="C45" s="170"/>
      <c r="D45" s="170"/>
      <c r="E45" s="134"/>
      <c r="F45" s="172"/>
      <c r="G45" s="173"/>
      <c r="H45" s="172"/>
      <c r="I45" s="58"/>
      <c r="J45" s="58"/>
      <c r="K45" s="58"/>
      <c r="L45" s="174"/>
      <c r="M45" s="175"/>
      <c r="N45" s="176"/>
      <c r="O45" s="177"/>
      <c r="P45" s="178"/>
    </row>
    <row r="46" spans="3:17" ht="12.75" customHeight="1">
      <c r="C46" s="170"/>
      <c r="D46" s="170"/>
      <c r="E46" s="134"/>
      <c r="F46" s="172"/>
      <c r="G46" s="173"/>
      <c r="H46" s="172"/>
      <c r="I46" s="58"/>
      <c r="J46" s="58"/>
      <c r="K46" s="58"/>
      <c r="L46" s="174"/>
      <c r="M46" s="175"/>
      <c r="N46" s="176"/>
      <c r="O46" s="177"/>
      <c r="P46" s="178"/>
    </row>
    <row r="47" spans="3:17" ht="12.75" customHeight="1">
      <c r="C47" s="170"/>
      <c r="D47" s="170"/>
      <c r="E47" s="134"/>
      <c r="F47" s="172"/>
      <c r="G47" s="173"/>
      <c r="H47" s="172"/>
      <c r="I47" s="665"/>
      <c r="J47" s="665"/>
      <c r="K47" s="665"/>
      <c r="L47" s="179"/>
      <c r="M47" s="175"/>
      <c r="N47" s="176"/>
      <c r="O47" s="177"/>
      <c r="P47" s="178"/>
    </row>
    <row r="48" spans="3:17">
      <c r="C48" s="150"/>
      <c r="D48" s="150"/>
      <c r="E48" s="150"/>
      <c r="F48" s="150"/>
      <c r="G48" s="150"/>
      <c r="H48" s="150"/>
    </row>
    <row r="50" spans="3:6">
      <c r="C50" s="137"/>
      <c r="E50" s="138"/>
    </row>
    <row r="51" spans="3:6" hidden="1" outlineLevel="1">
      <c r="C51" s="139">
        <v>46387</v>
      </c>
      <c r="E51" s="137">
        <f>+E32</f>
        <v>46296</v>
      </c>
      <c r="F51" s="57">
        <f>IF(YEAR(C51)=YEAR(E51),MONTH(C51-E51),MONTH(E32-C52))</f>
        <v>3</v>
      </c>
    </row>
    <row r="52" spans="3:6" hidden="1" outlineLevel="1">
      <c r="C52" s="139">
        <v>46387</v>
      </c>
      <c r="E52" s="139" t="str">
        <f>IF(E34=1-1-2026,E34,"01-01-2026")</f>
        <v>01-01-2026</v>
      </c>
      <c r="F52" s="57">
        <f>MONTH(C52-E52)</f>
        <v>12</v>
      </c>
    </row>
    <row r="53" spans="3:6" hidden="1" outlineLevel="1">
      <c r="C53" s="139">
        <v>46752</v>
      </c>
      <c r="E53" s="139" t="str">
        <f>IF(E34=1-1-2027,E34,"01-01-2027")</f>
        <v>01-01-2027</v>
      </c>
      <c r="F53" s="57">
        <f>MONTH(C53-E53)</f>
        <v>12</v>
      </c>
    </row>
    <row r="54" spans="3:6" hidden="1" outlineLevel="1">
      <c r="C54" s="139">
        <v>47118</v>
      </c>
      <c r="E54" s="139" t="str">
        <f>IF(E34&lt;=1-1-2028,E34,"01-01-2028")</f>
        <v>01-01-2028</v>
      </c>
      <c r="F54" s="57">
        <f>MONTH(C54-E54)</f>
        <v>12</v>
      </c>
    </row>
    <row r="55" spans="3:6" hidden="1" outlineLevel="1">
      <c r="C55" s="139">
        <v>47483</v>
      </c>
      <c r="E55" s="139">
        <f>E34</f>
        <v>47391</v>
      </c>
      <c r="F55" s="57">
        <f>IF(E55="","",MONTH(E55))</f>
        <v>9</v>
      </c>
    </row>
    <row r="56" spans="3:6" collapsed="1"/>
  </sheetData>
  <sheetProtection selectLockedCells="1"/>
  <dataConsolidate/>
  <mergeCells count="35">
    <mergeCell ref="E27:P27"/>
    <mergeCell ref="I34:K34"/>
    <mergeCell ref="H29:J29"/>
    <mergeCell ref="P31:P32"/>
    <mergeCell ref="O34:P34"/>
    <mergeCell ref="L35:N35"/>
    <mergeCell ref="L36:N36"/>
    <mergeCell ref="L34:N34"/>
    <mergeCell ref="L37:N37"/>
    <mergeCell ref="I47:K47"/>
    <mergeCell ref="I35:K35"/>
    <mergeCell ref="L44:N44"/>
    <mergeCell ref="I36:K36"/>
    <mergeCell ref="I37:K37"/>
    <mergeCell ref="L41:N41"/>
    <mergeCell ref="L42:N42"/>
    <mergeCell ref="L40:N40"/>
    <mergeCell ref="L38:N38"/>
    <mergeCell ref="L39:N39"/>
    <mergeCell ref="L43:N43"/>
    <mergeCell ref="C10:P12"/>
    <mergeCell ref="O17:P17"/>
    <mergeCell ref="E19:P19"/>
    <mergeCell ref="E23:P23"/>
    <mergeCell ref="E25:P25"/>
    <mergeCell ref="E21:M21"/>
    <mergeCell ref="N21:O21"/>
    <mergeCell ref="C14:P14"/>
    <mergeCell ref="C41:E41"/>
    <mergeCell ref="F41:G41"/>
    <mergeCell ref="I38:K38"/>
    <mergeCell ref="C39:E39"/>
    <mergeCell ref="F39:G39"/>
    <mergeCell ref="C40:E40"/>
    <mergeCell ref="F40:G40"/>
  </mergeCells>
  <phoneticPr fontId="49" type="noConversion"/>
  <dataValidations count="3">
    <dataValidation type="decimal" operator="greaterThan" allowBlank="1" showInputMessage="1" showErrorMessage="1" errorTitle="Erro: taxa inferior a zero" error="A taxa de overheads tem que ser positiva." prompt="Taxa máxima de overheads permitida pelo regulamento do concurso. " sqref="F40:G40">
      <formula1>0</formula1>
    </dataValidation>
    <dataValidation operator="equal" allowBlank="1" showInputMessage="1" showErrorMessage="1" errorTitle="Duração do projeto" error="A duração do projeto deve ser de 36 meses, considerando o regulamento do concurso e o DL nº57/2016, relativo à contratação de doutorados." sqref="E34"/>
    <dataValidation errorStyle="warning" operator="equal" allowBlank="1" showInputMessage="1" prompt="Máximo de 36 meses." sqref="E33"/>
  </dataValidations>
  <pageMargins left="0.23622047244094491" right="0.23622047244094491" top="0.94488188976377963" bottom="0.74803149606299213" header="0.11811023622047245" footer="0.31496062992125984"/>
  <pageSetup paperSize="9" scale="45" orientation="portrait" r:id="rId1"/>
  <headerFooter>
    <oddHeader xml:space="preserve">&amp;R&amp;"Gill Sans MT,Normal"&amp;12&amp;G
&amp;18Universidade de Coimbra&amp;"-,Normal"&amp;11
</oddHeader>
    <oddFooter>&amp;L&amp;"Gill Sans MT,Normal"&amp;10Universidade de Coimbra | DAPI.UC&amp;R&amp;"Gill Sans MT,Normal"&amp;9   &amp;D | &amp;P de  &amp;N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'Valores bolsas e 57_2016'!$D$6:$D$13</xm:f>
          </x14:formula1>
          <xm:sqref>E29</xm:sqref>
        </x14:dataValidation>
        <x14:dataValidation type="list" allowBlank="1" showInputMessage="1" showErrorMessage="1">
          <x14:formula1>
            <xm:f>'Valores bolsas e 57_2016'!$E$6:$E$19</xm:f>
          </x14:formula1>
          <xm:sqref>H29:J29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C3:P28"/>
  <sheetViews>
    <sheetView showGridLines="0" zoomScale="90" zoomScaleNormal="90" workbookViewId="0">
      <selection activeCell="D21" sqref="D21"/>
    </sheetView>
  </sheetViews>
  <sheetFormatPr defaultColWidth="9.1796875" defaultRowHeight="13"/>
  <cols>
    <col min="1" max="1" width="2.453125" style="57" customWidth="1"/>
    <col min="2" max="2" width="5.1796875" style="57" customWidth="1"/>
    <col min="3" max="4" width="22.54296875" style="57" customWidth="1"/>
    <col min="5" max="5" width="15.26953125" style="57" customWidth="1"/>
    <col min="6" max="6" width="15.81640625" style="57" customWidth="1"/>
    <col min="7" max="7" width="18.1796875" style="57" customWidth="1"/>
    <col min="8" max="8" width="26" style="57" customWidth="1"/>
    <col min="9" max="10" width="5.1796875" style="57" customWidth="1"/>
    <col min="11" max="12" width="11.453125" style="57" customWidth="1"/>
    <col min="13" max="14" width="6.54296875" style="57" customWidth="1"/>
    <col min="15" max="15" width="68.54296875" style="57" customWidth="1"/>
    <col min="16" max="16" width="26.1796875" style="57" customWidth="1"/>
    <col min="17" max="17" width="6.453125" style="57" customWidth="1"/>
    <col min="18" max="16384" width="9.1796875" style="57"/>
  </cols>
  <sheetData>
    <row r="3" spans="3:16">
      <c r="P3" s="57" t="s">
        <v>174</v>
      </c>
    </row>
    <row r="4" spans="3:16">
      <c r="P4" s="57" t="s">
        <v>175</v>
      </c>
    </row>
    <row r="5" spans="3:16">
      <c r="P5" s="57" t="s">
        <v>176</v>
      </c>
    </row>
    <row r="6" spans="3:16">
      <c r="P6" s="57" t="s">
        <v>177</v>
      </c>
    </row>
    <row r="10" spans="3:16" ht="42" customHeight="1">
      <c r="C10" s="698" t="s">
        <v>143</v>
      </c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</row>
    <row r="11" spans="3:16">
      <c r="C11" s="700"/>
      <c r="D11" s="701"/>
      <c r="E11" s="701"/>
      <c r="F11" s="701"/>
      <c r="G11" s="701"/>
      <c r="H11" s="701"/>
      <c r="I11" s="701"/>
      <c r="J11" s="701"/>
      <c r="K11" s="701"/>
      <c r="L11" s="701"/>
      <c r="M11" s="701"/>
      <c r="N11" s="701"/>
      <c r="O11" s="701"/>
    </row>
    <row r="12" spans="3:16">
      <c r="C12" s="702"/>
      <c r="D12" s="703"/>
      <c r="E12" s="703"/>
      <c r="F12" s="703"/>
      <c r="G12" s="703"/>
      <c r="H12" s="703"/>
      <c r="I12" s="703"/>
      <c r="J12" s="703"/>
      <c r="K12" s="703"/>
      <c r="L12" s="703"/>
      <c r="M12" s="703"/>
      <c r="N12" s="703"/>
      <c r="O12" s="703"/>
    </row>
    <row r="13" spans="3:16" ht="10.5" customHeight="1">
      <c r="N13" s="165"/>
      <c r="O13" s="165"/>
    </row>
    <row r="14" spans="3:16">
      <c r="C14" s="58"/>
      <c r="D14" s="58"/>
      <c r="E14" s="182"/>
      <c r="F14" s="182"/>
      <c r="H14" s="58"/>
      <c r="I14" s="58"/>
      <c r="J14" s="58"/>
    </row>
    <row r="15" spans="3:16" ht="28.5">
      <c r="C15" s="183" t="s">
        <v>12</v>
      </c>
      <c r="D15" s="58"/>
      <c r="E15" s="182"/>
      <c r="F15" s="182"/>
      <c r="H15" s="58"/>
      <c r="I15" s="58"/>
      <c r="J15" s="58"/>
    </row>
    <row r="16" spans="3:16">
      <c r="C16" s="58"/>
      <c r="D16" s="58"/>
      <c r="E16" s="182"/>
      <c r="F16" s="182"/>
      <c r="H16" s="58"/>
      <c r="I16" s="58"/>
      <c r="J16" s="58"/>
    </row>
    <row r="17" spans="3:15" ht="12.75" customHeight="1">
      <c r="C17" s="164" t="s">
        <v>13</v>
      </c>
      <c r="D17" s="184" t="s">
        <v>14</v>
      </c>
      <c r="E17" s="185" t="s">
        <v>15</v>
      </c>
      <c r="F17" s="185" t="s">
        <v>153</v>
      </c>
      <c r="G17" s="135" t="s">
        <v>154</v>
      </c>
      <c r="H17" s="185" t="s">
        <v>173</v>
      </c>
      <c r="I17" s="58"/>
      <c r="J17" s="58"/>
    </row>
    <row r="18" spans="3:15" ht="12.75" customHeight="1">
      <c r="C18" s="162" t="s">
        <v>16</v>
      </c>
      <c r="D18" s="509" t="s">
        <v>234</v>
      </c>
      <c r="E18" s="186">
        <v>46296</v>
      </c>
      <c r="F18" s="187">
        <v>36</v>
      </c>
      <c r="G18" s="126">
        <f t="shared" ref="G18:G28" si="0">IF(OR(E18="",F18="",F18=0),"",EDATE(E18,F18)-1)</f>
        <v>47391</v>
      </c>
      <c r="H18" s="188" t="s">
        <v>177</v>
      </c>
      <c r="I18" s="58"/>
      <c r="J18" s="58"/>
    </row>
    <row r="19" spans="3:15" ht="12.75" customHeight="1">
      <c r="C19" s="127" t="s">
        <v>17</v>
      </c>
      <c r="D19" s="522" t="s">
        <v>235</v>
      </c>
      <c r="E19" s="190">
        <v>46388</v>
      </c>
      <c r="F19" s="191">
        <v>25</v>
      </c>
      <c r="G19" s="126">
        <f t="shared" si="0"/>
        <v>47149</v>
      </c>
      <c r="H19" s="192" t="s">
        <v>175</v>
      </c>
      <c r="I19" s="58"/>
      <c r="J19" s="58"/>
    </row>
    <row r="20" spans="3:15" ht="12.75" customHeight="1">
      <c r="C20" s="127" t="s">
        <v>18</v>
      </c>
      <c r="D20" s="510" t="s">
        <v>236</v>
      </c>
      <c r="E20" s="190">
        <v>46388</v>
      </c>
      <c r="F20" s="191">
        <v>25</v>
      </c>
      <c r="G20" s="126">
        <f t="shared" si="0"/>
        <v>47149</v>
      </c>
      <c r="H20" s="192" t="s">
        <v>175</v>
      </c>
      <c r="I20" s="58"/>
      <c r="J20" s="58"/>
    </row>
    <row r="21" spans="3:15" ht="12.75" customHeight="1">
      <c r="C21" s="127" t="s">
        <v>19</v>
      </c>
      <c r="D21" s="510" t="s">
        <v>237</v>
      </c>
      <c r="E21" s="190">
        <v>46388</v>
      </c>
      <c r="F21" s="191">
        <v>25</v>
      </c>
      <c r="G21" s="126">
        <f t="shared" si="0"/>
        <v>47149</v>
      </c>
      <c r="H21" s="192" t="s">
        <v>175</v>
      </c>
      <c r="I21" s="58"/>
      <c r="J21" s="58"/>
    </row>
    <row r="22" spans="3:15" ht="12.75" customHeight="1">
      <c r="C22" s="127" t="s">
        <v>20</v>
      </c>
      <c r="D22" s="522" t="s">
        <v>238</v>
      </c>
      <c r="E22" s="190">
        <v>46753</v>
      </c>
      <c r="F22" s="191">
        <v>19</v>
      </c>
      <c r="G22" s="126">
        <f t="shared" si="0"/>
        <v>47330</v>
      </c>
      <c r="H22" s="192" t="s">
        <v>175</v>
      </c>
      <c r="I22" s="58"/>
      <c r="J22" s="58"/>
      <c r="K22" s="174"/>
      <c r="L22" s="175"/>
      <c r="M22" s="176"/>
      <c r="N22" s="177"/>
      <c r="O22" s="178"/>
    </row>
    <row r="23" spans="3:15" ht="12.75" customHeight="1">
      <c r="C23" s="127" t="s">
        <v>21</v>
      </c>
      <c r="D23" s="510" t="s">
        <v>239</v>
      </c>
      <c r="E23" s="190">
        <v>46753</v>
      </c>
      <c r="F23" s="161">
        <v>21</v>
      </c>
      <c r="G23" s="126">
        <f t="shared" si="0"/>
        <v>47391</v>
      </c>
      <c r="H23" s="192" t="s">
        <v>176</v>
      </c>
      <c r="I23" s="58"/>
      <c r="J23" s="58"/>
      <c r="K23" s="174"/>
      <c r="L23" s="175"/>
      <c r="M23" s="176"/>
      <c r="N23" s="177"/>
      <c r="O23" s="178"/>
    </row>
    <row r="24" spans="3:15" ht="12.75" customHeight="1">
      <c r="C24" s="127" t="s">
        <v>22</v>
      </c>
      <c r="D24" s="189"/>
      <c r="E24" s="190"/>
      <c r="F24" s="191"/>
      <c r="G24" s="126"/>
      <c r="H24" s="192"/>
      <c r="I24" s="58"/>
      <c r="J24" s="58"/>
      <c r="K24" s="174"/>
      <c r="L24" s="175"/>
      <c r="M24" s="176"/>
      <c r="N24" s="177"/>
      <c r="O24" s="178"/>
    </row>
    <row r="25" spans="3:15" ht="12.75" customHeight="1">
      <c r="C25" s="127" t="s">
        <v>144</v>
      </c>
      <c r="D25" s="189"/>
      <c r="E25" s="190"/>
      <c r="F25" s="191"/>
      <c r="G25" s="126" t="str">
        <f t="shared" si="0"/>
        <v/>
      </c>
      <c r="H25" s="192"/>
      <c r="I25" s="58"/>
      <c r="J25" s="58"/>
      <c r="K25" s="174"/>
      <c r="L25" s="175"/>
      <c r="M25" s="176"/>
      <c r="N25" s="177"/>
      <c r="O25" s="178"/>
    </row>
    <row r="26" spans="3:15" ht="12.75" customHeight="1">
      <c r="C26" s="127" t="s">
        <v>145</v>
      </c>
      <c r="D26" s="189"/>
      <c r="E26" s="190"/>
      <c r="F26" s="191"/>
      <c r="G26" s="126" t="str">
        <f t="shared" si="0"/>
        <v/>
      </c>
      <c r="H26" s="192"/>
      <c r="I26" s="58"/>
      <c r="J26" s="58"/>
      <c r="K26" s="174"/>
      <c r="L26" s="175"/>
      <c r="M26" s="176"/>
      <c r="N26" s="177"/>
      <c r="O26" s="178"/>
    </row>
    <row r="27" spans="3:15" ht="12.75" customHeight="1">
      <c r="C27" s="127" t="s">
        <v>146</v>
      </c>
      <c r="D27" s="189"/>
      <c r="E27" s="190"/>
      <c r="F27" s="191"/>
      <c r="G27" s="126" t="str">
        <f t="shared" si="0"/>
        <v/>
      </c>
      <c r="H27" s="192"/>
      <c r="I27" s="58"/>
      <c r="J27" s="58"/>
      <c r="K27" s="174"/>
      <c r="L27" s="175"/>
      <c r="M27" s="176"/>
      <c r="N27" s="177"/>
      <c r="O27" s="178"/>
    </row>
    <row r="28" spans="3:15" ht="12.75" customHeight="1">
      <c r="C28" s="163" t="s">
        <v>147</v>
      </c>
      <c r="D28" s="193"/>
      <c r="E28" s="194"/>
      <c r="F28" s="195"/>
      <c r="G28" s="136" t="str">
        <f t="shared" si="0"/>
        <v/>
      </c>
      <c r="H28" s="196"/>
      <c r="I28" s="197"/>
      <c r="J28" s="197"/>
      <c r="K28" s="179"/>
      <c r="L28" s="175"/>
      <c r="M28" s="176"/>
      <c r="N28" s="177"/>
      <c r="O28" s="178"/>
    </row>
  </sheetData>
  <sheetProtection selectLockedCells="1"/>
  <dataConsolidate/>
  <mergeCells count="1">
    <mergeCell ref="C10:O12"/>
  </mergeCells>
  <dataValidations count="1">
    <dataValidation type="list" allowBlank="1" showInputMessage="1" showErrorMessage="1" sqref="H18:H28">
      <formula1>$P$3:$P$6</formula1>
    </dataValidation>
  </dataValidations>
  <pageMargins left="0.23622047244094491" right="0.23622047244094491" top="0.94488188976377963" bottom="0.74803149606299213" header="0.11811023622047245" footer="0.31496062992125984"/>
  <pageSetup paperSize="9" scale="45" orientation="portrait" r:id="rId1"/>
  <headerFooter>
    <oddHeader xml:space="preserve">&amp;R&amp;"Gill Sans MT,Normal"&amp;12&amp;G
&amp;18Universidade de Coimbra&amp;"-,Normal"&amp;11
</oddHeader>
    <oddFooter>&amp;L&amp;"Gill Sans MT,Normal"&amp;10Universidade de Coimbra | DAPI.UC&amp;R&amp;"Gill Sans MT,Normal"&amp;9   &amp;D | &amp;P de 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1:AO28"/>
  <sheetViews>
    <sheetView showGridLines="0" zoomScale="80" zoomScaleNormal="80" workbookViewId="0">
      <selection activeCell="AM20" sqref="AM20"/>
    </sheetView>
  </sheetViews>
  <sheetFormatPr defaultColWidth="8.7265625" defaultRowHeight="13"/>
  <cols>
    <col min="1" max="1" width="8.7265625" style="199"/>
    <col min="2" max="2" width="26" style="199" customWidth="1"/>
    <col min="3" max="3" width="18" style="199" customWidth="1"/>
    <col min="4" max="4" width="14.453125" style="199" customWidth="1"/>
    <col min="5" max="5" width="12.81640625" style="199" customWidth="1"/>
    <col min="6" max="8" width="9.1796875" style="199" bestFit="1" customWidth="1"/>
    <col min="9" max="10" width="8.81640625" style="199" bestFit="1" customWidth="1"/>
    <col min="11" max="11" width="9.1796875" style="199" bestFit="1" customWidth="1"/>
    <col min="12" max="12" width="8.26953125" style="199" bestFit="1" customWidth="1"/>
    <col min="13" max="13" width="9.453125" style="199" bestFit="1" customWidth="1"/>
    <col min="14" max="14" width="8.81640625" style="199" bestFit="1" customWidth="1"/>
    <col min="15" max="15" width="9.1796875" style="199" bestFit="1" customWidth="1"/>
    <col min="16" max="17" width="9.26953125" style="199" bestFit="1" customWidth="1"/>
    <col min="18" max="20" width="9.1796875" style="199" bestFit="1" customWidth="1"/>
    <col min="21" max="22" width="8.81640625" style="199" bestFit="1" customWidth="1"/>
    <col min="23" max="23" width="9.1796875" style="199" bestFit="1" customWidth="1"/>
    <col min="24" max="24" width="8.26953125" style="199" bestFit="1" customWidth="1"/>
    <col min="25" max="25" width="9.453125" style="199" bestFit="1" customWidth="1"/>
    <col min="26" max="26" width="8.81640625" style="199" bestFit="1" customWidth="1"/>
    <col min="27" max="27" width="9.1796875" style="199" bestFit="1" customWidth="1"/>
    <col min="28" max="29" width="9.26953125" style="199" bestFit="1" customWidth="1"/>
    <col min="30" max="32" width="9.1796875" style="199" bestFit="1" customWidth="1"/>
    <col min="33" max="34" width="8.81640625" style="199" bestFit="1" customWidth="1"/>
    <col min="35" max="35" width="9.1796875" style="199" bestFit="1" customWidth="1"/>
    <col min="36" max="36" width="8.26953125" style="199" bestFit="1" customWidth="1"/>
    <col min="37" max="37" width="9.453125" style="199" bestFit="1" customWidth="1"/>
    <col min="38" max="38" width="8.81640625" style="199" bestFit="1" customWidth="1"/>
    <col min="39" max="39" width="9.1796875" style="199" bestFit="1" customWidth="1"/>
    <col min="40" max="41" width="9.26953125" style="199" bestFit="1" customWidth="1"/>
    <col min="42" max="42" width="7.1796875" style="199" customWidth="1"/>
    <col min="43" max="16384" width="8.7265625" style="199"/>
  </cols>
  <sheetData>
    <row r="11" spans="2:41" ht="15.5">
      <c r="B11" s="198" t="s">
        <v>24</v>
      </c>
    </row>
    <row r="12" spans="2:41" ht="13.5" thickBot="1">
      <c r="G12" s="200" t="s">
        <v>156</v>
      </c>
    </row>
    <row r="13" spans="2:41">
      <c r="B13" s="704" t="s">
        <v>155</v>
      </c>
      <c r="C13" s="706" t="s">
        <v>170</v>
      </c>
      <c r="D13" s="706" t="s">
        <v>171</v>
      </c>
      <c r="E13" s="708" t="s">
        <v>172</v>
      </c>
      <c r="F13" s="204">
        <f>IF(F14&lt;&gt;"",IF(RESUMO!$E$32="","",DATE(YEAR(RESUMO!$E$32),MONTH(RESUMO!$E$32),DAY(RESUMO!$E$32))),"")</f>
        <v>46296</v>
      </c>
      <c r="G13" s="204">
        <f>IF(G14&lt;&gt;"",IF(RESUMO!$E$32="","",DATE(YEAR(RESUMO!$E$32),MONTH(RESUMO!$E$32)+F14,DAY(RESUMO!$E$32))),"")</f>
        <v>46327</v>
      </c>
      <c r="H13" s="204">
        <f>IF(H14&lt;&gt;"",IF(RESUMO!$E$32="","",DATE(YEAR(RESUMO!$E$32),MONTH(RESUMO!$E$32)+G14,DAY(RESUMO!$E$32))),"")</f>
        <v>46357</v>
      </c>
      <c r="I13" s="204">
        <f>IF(I14&lt;&gt;"",IF(RESUMO!$E$32="","",DATE(YEAR(RESUMO!$E$32),MONTH(RESUMO!$E$32)+H14,DAY(RESUMO!$E$32))),"")</f>
        <v>46388</v>
      </c>
      <c r="J13" s="204">
        <f>IF(J14&lt;&gt;"",IF(RESUMO!$E$32="","",DATE(YEAR(RESUMO!$E$32),MONTH(RESUMO!$E$32)+I14,DAY(RESUMO!$E$32))),"")</f>
        <v>46419</v>
      </c>
      <c r="K13" s="204">
        <f>IF(K14&lt;&gt;"",IF(RESUMO!$E$32="","",DATE(YEAR(RESUMO!$E$32),MONTH(RESUMO!$E$32)+J14,DAY(RESUMO!$E$32))),"")</f>
        <v>46447</v>
      </c>
      <c r="L13" s="204">
        <f>IF(L14&lt;&gt;"",IF(RESUMO!$E$32="","",DATE(YEAR(RESUMO!$E$32),MONTH(RESUMO!$E$32)+K14,DAY(RESUMO!$E$32))),"")</f>
        <v>46478</v>
      </c>
      <c r="M13" s="204">
        <f>IF(M14&lt;&gt;"",IF(RESUMO!$E$32="","",DATE(YEAR(RESUMO!$E$32),MONTH(RESUMO!$E$32)+L14,DAY(RESUMO!$E$32))),"")</f>
        <v>46508</v>
      </c>
      <c r="N13" s="204">
        <f>IF(N14&lt;&gt;"",IF(RESUMO!$E$32="","",DATE(YEAR(RESUMO!$E$32),MONTH(RESUMO!$E$32)+M14,DAY(RESUMO!$E$32))),"")</f>
        <v>46539</v>
      </c>
      <c r="O13" s="204">
        <f>IF(O14&lt;&gt;"",IF(RESUMO!$E$32="","",DATE(YEAR(RESUMO!$E$32),MONTH(RESUMO!$E$32)+N14,DAY(RESUMO!$E$32))),"")</f>
        <v>46569</v>
      </c>
      <c r="P13" s="204">
        <f>IF(P14&lt;&gt;"",IF(RESUMO!$E$32="","",DATE(YEAR(RESUMO!$E$32),MONTH(RESUMO!$E$32)+O14,DAY(RESUMO!$E$32))),"")</f>
        <v>46600</v>
      </c>
      <c r="Q13" s="204">
        <f>IF(Q14&lt;&gt;"",IF(RESUMO!$E$32="","",DATE(YEAR(RESUMO!$E$32),MONTH(RESUMO!$E$32)+P14,DAY(RESUMO!$E$32))),"")</f>
        <v>46631</v>
      </c>
      <c r="R13" s="204">
        <f>IF(R14&lt;&gt;"",IF(RESUMO!$E$32="","",DATE(YEAR(RESUMO!$E$32),MONTH(RESUMO!$E$32)+Q14,DAY(RESUMO!$E$32))),"")</f>
        <v>46661</v>
      </c>
      <c r="S13" s="204">
        <f>IF(S14&lt;&gt;"",IF(RESUMO!$E$32="","",DATE(YEAR(RESUMO!$E$32),MONTH(RESUMO!$E$32)+R14,DAY(RESUMO!$E$32))),"")</f>
        <v>46692</v>
      </c>
      <c r="T13" s="204">
        <f>IF(T14&lt;&gt;"",IF(RESUMO!$E$32="","",DATE(YEAR(RESUMO!$E$32),MONTH(RESUMO!$E$32)+S14,DAY(RESUMO!$E$32))),"")</f>
        <v>46722</v>
      </c>
      <c r="U13" s="204">
        <f>IF(U14&lt;&gt;"",IF(RESUMO!$E$32="","",DATE(YEAR(RESUMO!$E$32),MONTH(RESUMO!$E$32)+T14,DAY(RESUMO!$E$32))),"")</f>
        <v>46753</v>
      </c>
      <c r="V13" s="204">
        <f>IF(V14&lt;&gt;"",IF(RESUMO!$E$32="","",DATE(YEAR(RESUMO!$E$32),MONTH(RESUMO!$E$32)+U14,DAY(RESUMO!$E$32))),"")</f>
        <v>46784</v>
      </c>
      <c r="W13" s="204">
        <f>IF(W14&lt;&gt;"",IF(RESUMO!$E$32="","",DATE(YEAR(RESUMO!$E$32),MONTH(RESUMO!$E$32)+V14,DAY(RESUMO!$E$32))),"")</f>
        <v>46813</v>
      </c>
      <c r="X13" s="204">
        <f>IF(X14&lt;&gt;"",IF(RESUMO!$E$32="","",DATE(YEAR(RESUMO!$E$32),MONTH(RESUMO!$E$32)+W14,DAY(RESUMO!$E$32))),"")</f>
        <v>46844</v>
      </c>
      <c r="Y13" s="204">
        <f>IF(Y14&lt;&gt;"",IF(RESUMO!$E$32="","",DATE(YEAR(RESUMO!$E$32),MONTH(RESUMO!$E$32)+X14,DAY(RESUMO!$E$32))),"")</f>
        <v>46874</v>
      </c>
      <c r="Z13" s="204">
        <f>IF(Z14&lt;&gt;"",IF(RESUMO!$E$32="","",DATE(YEAR(RESUMO!$E$32),MONTH(RESUMO!$E$32)+Y14,DAY(RESUMO!$E$32))),"")</f>
        <v>46905</v>
      </c>
      <c r="AA13" s="204">
        <f>IF(AA14&lt;&gt;"",IF(RESUMO!$E$32="","",DATE(YEAR(RESUMO!$E$32),MONTH(RESUMO!$E$32)+Z14,DAY(RESUMO!$E$32))),"")</f>
        <v>46935</v>
      </c>
      <c r="AB13" s="204">
        <f>IF(AB14&lt;&gt;"",IF(RESUMO!$E$32="","",DATE(YEAR(RESUMO!$E$32),MONTH(RESUMO!$E$32)+AA14,DAY(RESUMO!$E$32))),"")</f>
        <v>46966</v>
      </c>
      <c r="AC13" s="204">
        <f>IF(AC14&lt;&gt;"",IF(RESUMO!$E$32="","",DATE(YEAR(RESUMO!$E$32),MONTH(RESUMO!$E$32)+AB14,DAY(RESUMO!$E$32))),"")</f>
        <v>46997</v>
      </c>
      <c r="AD13" s="204">
        <f>IF(AD14&lt;&gt;"",IF(RESUMO!$E$32="","",DATE(YEAR(RESUMO!$E$32),MONTH(RESUMO!$E$32)+AC14,DAY(RESUMO!$E$32))),"")</f>
        <v>47027</v>
      </c>
      <c r="AE13" s="204">
        <f>IF(AE14&lt;&gt;"",IF(RESUMO!$E$32="","",DATE(YEAR(RESUMO!$E$32),MONTH(RESUMO!$E$32)+AD14,DAY(RESUMO!$E$32))),"")</f>
        <v>47058</v>
      </c>
      <c r="AF13" s="204">
        <f>IF(AF14&lt;&gt;"",IF(RESUMO!$E$32="","",DATE(YEAR(RESUMO!$E$32),MONTH(RESUMO!$E$32)+AE14,DAY(RESUMO!$E$32))),"")</f>
        <v>47088</v>
      </c>
      <c r="AG13" s="204">
        <f>IF(AG14&lt;&gt;"",IF(RESUMO!$E$32="","",DATE(YEAR(RESUMO!$E$32),MONTH(RESUMO!$E$32)+AF14,DAY(RESUMO!$E$32))),"")</f>
        <v>47119</v>
      </c>
      <c r="AH13" s="204">
        <f>IF(AH14&lt;&gt;"",IF(RESUMO!$E$32="","",DATE(YEAR(RESUMO!$E$32),MONTH(RESUMO!$E$32)+AG14,DAY(RESUMO!$E$32))),"")</f>
        <v>47150</v>
      </c>
      <c r="AI13" s="204">
        <f>IF(AI14&lt;&gt;"",IF(RESUMO!$E$32="","",DATE(YEAR(RESUMO!$E$32),MONTH(RESUMO!$E$32)+AH14,DAY(RESUMO!$E$32))),"")</f>
        <v>47178</v>
      </c>
      <c r="AJ13" s="204">
        <f>IF(AJ14&lt;&gt;"",IF(RESUMO!$E$32="","",DATE(YEAR(RESUMO!$E$32),MONTH(RESUMO!$E$32)+AI14,DAY(RESUMO!$E$32))),"")</f>
        <v>47209</v>
      </c>
      <c r="AK13" s="204">
        <f>IF(AK14&lt;&gt;"",IF(RESUMO!$E$32="","",DATE(YEAR(RESUMO!$E$32),MONTH(RESUMO!$E$32)+AJ14,DAY(RESUMO!$E$32))),"")</f>
        <v>47239</v>
      </c>
      <c r="AL13" s="204">
        <f>IF(AL14&lt;&gt;"",IF(RESUMO!$E$32="","",DATE(YEAR(RESUMO!$E$32),MONTH(RESUMO!$E$32)+AK14,DAY(RESUMO!$E$32))),"")</f>
        <v>47270</v>
      </c>
      <c r="AM13" s="204">
        <f>IF(AM14&lt;&gt;"",IF(RESUMO!$E$32="","",DATE(YEAR(RESUMO!$E$32),MONTH(RESUMO!$E$32)+AL14,DAY(RESUMO!$E$32))),"")</f>
        <v>47300</v>
      </c>
      <c r="AN13" s="204">
        <f>IF(AN14&lt;&gt;"",IF(RESUMO!$E$32="","",DATE(YEAR(RESUMO!$E$32),MONTH(RESUMO!$E$32)+AM14,DAY(RESUMO!$E$32))),"")</f>
        <v>47331</v>
      </c>
      <c r="AO13" s="205">
        <f>IF(AO14&lt;&gt;"",IF(RESUMO!$E$32="","",DATE(YEAR(RESUMO!$E$32),MONTH(RESUMO!$E$32)+AN14,DAY(RESUMO!$E$32))),"")</f>
        <v>47362</v>
      </c>
    </row>
    <row r="14" spans="2:41" ht="25.5" customHeight="1" thickBot="1">
      <c r="B14" s="705"/>
      <c r="C14" s="707"/>
      <c r="D14" s="707"/>
      <c r="E14" s="709"/>
      <c r="F14" s="206">
        <f>IF(RESUMO!$E$33&gt;0,1,"")</f>
        <v>1</v>
      </c>
      <c r="G14" s="206">
        <f>IF(RESUMO!$E$33&gt;0,F14+1,"")</f>
        <v>2</v>
      </c>
      <c r="H14" s="206">
        <f>IF(RESUMO!$E$33&gt;0,G14+1,"")</f>
        <v>3</v>
      </c>
      <c r="I14" s="206">
        <f>IF(RESUMO!$E$33&gt;0,H14+1,"")</f>
        <v>4</v>
      </c>
      <c r="J14" s="206">
        <f>IF(RESUMO!$E$33&gt;0,I14+1,"")</f>
        <v>5</v>
      </c>
      <c r="K14" s="206">
        <f>IF(RESUMO!$E$33&gt;0,J14+1,"")</f>
        <v>6</v>
      </c>
      <c r="L14" s="206">
        <f>IF(RESUMO!$E$33&gt;0,K14+1,"")</f>
        <v>7</v>
      </c>
      <c r="M14" s="206">
        <f>IF(RESUMO!$E$33&gt;0,L14+1,"")</f>
        <v>8</v>
      </c>
      <c r="N14" s="206">
        <f>IF(RESUMO!$E$33&gt;0,M14+1,"")</f>
        <v>9</v>
      </c>
      <c r="O14" s="206">
        <f>IF(RESUMO!$E$33&gt;0,N14+1,"")</f>
        <v>10</v>
      </c>
      <c r="P14" s="206">
        <f>IF(RESUMO!$E$33&gt;0,O14+1,"")</f>
        <v>11</v>
      </c>
      <c r="Q14" s="206">
        <f>IF(RESUMO!$E$33&gt;0,P14+1,"")</f>
        <v>12</v>
      </c>
      <c r="R14" s="206">
        <f>IF(RESUMO!$E$33&gt;0,Q14+1,"")</f>
        <v>13</v>
      </c>
      <c r="S14" s="206">
        <f>IF(RESUMO!$E$33&gt;0,R14+1,"")</f>
        <v>14</v>
      </c>
      <c r="T14" s="206">
        <f>IF(RESUMO!$E$33&gt;0,S14+1,"")</f>
        <v>15</v>
      </c>
      <c r="U14" s="206">
        <f>IF(RESUMO!$E$33&gt;0,T14+1,"")</f>
        <v>16</v>
      </c>
      <c r="V14" s="206">
        <f>IF(RESUMO!$E$33&gt;0,U14+1,"")</f>
        <v>17</v>
      </c>
      <c r="W14" s="206">
        <f>IF(RESUMO!$E$33&gt;0,V14+1,"")</f>
        <v>18</v>
      </c>
      <c r="X14" s="206">
        <f>IF(RESUMO!$E$33&gt;0,W14+1,"")</f>
        <v>19</v>
      </c>
      <c r="Y14" s="206">
        <f>IF(RESUMO!$E$33&gt;0,X14+1,"")</f>
        <v>20</v>
      </c>
      <c r="Z14" s="206">
        <f>IF(RESUMO!$E$33&gt;0,Y14+1,"")</f>
        <v>21</v>
      </c>
      <c r="AA14" s="206">
        <f>IF(RESUMO!$E$33&gt;0,Z14+1,"")</f>
        <v>22</v>
      </c>
      <c r="AB14" s="206">
        <f>IF(RESUMO!$E$33&gt;0,AA14+1,"")</f>
        <v>23</v>
      </c>
      <c r="AC14" s="206">
        <f>IF(RESUMO!$E$33&gt;0,AB14+1,"")</f>
        <v>24</v>
      </c>
      <c r="AD14" s="206">
        <f>IF(RESUMO!$E$33&gt;0,AC14+1,"")</f>
        <v>25</v>
      </c>
      <c r="AE14" s="206">
        <f>IF(RESUMO!$E$33&gt;0,AD14+1,"")</f>
        <v>26</v>
      </c>
      <c r="AF14" s="206">
        <f>IF(RESUMO!$E$33&gt;0,AE14+1,"")</f>
        <v>27</v>
      </c>
      <c r="AG14" s="206">
        <f>IF(RESUMO!$E$33&gt;0,AF14+1,"")</f>
        <v>28</v>
      </c>
      <c r="AH14" s="206">
        <f>IF(RESUMO!$E$33&gt;0,AG14+1,"")</f>
        <v>29</v>
      </c>
      <c r="AI14" s="206">
        <f>IF(RESUMO!$E$33&gt;0,AH14+1,"")</f>
        <v>30</v>
      </c>
      <c r="AJ14" s="206">
        <f>IF(RESUMO!$E$33&gt;0,AI14+1,"")</f>
        <v>31</v>
      </c>
      <c r="AK14" s="206">
        <f>IF(RESUMO!$E$33&gt;0,AJ14+1,"")</f>
        <v>32</v>
      </c>
      <c r="AL14" s="206">
        <f>IF(RESUMO!$E$33&gt;0,AK14+1,"")</f>
        <v>33</v>
      </c>
      <c r="AM14" s="206">
        <f>IF(RESUMO!$E$33&gt;0,AL14+1,"")</f>
        <v>34</v>
      </c>
      <c r="AN14" s="206">
        <f>IF(RESUMO!$E$33&gt;0,AM14+1,"")</f>
        <v>35</v>
      </c>
      <c r="AO14" s="207">
        <f>IF(RESUMO!$E$33&gt;0,AN14+1,"")</f>
        <v>36</v>
      </c>
    </row>
    <row r="15" spans="2:41">
      <c r="B15" s="208"/>
      <c r="C15" s="208"/>
      <c r="D15" s="208"/>
      <c r="E15" s="208"/>
      <c r="F15" s="208"/>
      <c r="G15" s="209"/>
      <c r="H15" s="209"/>
      <c r="I15" s="209"/>
      <c r="J15" s="209"/>
      <c r="K15" s="209"/>
      <c r="L15" s="209"/>
      <c r="M15" s="209"/>
      <c r="N15" s="209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1"/>
    </row>
    <row r="16" spans="2:41">
      <c r="B16" s="212" t="str">
        <f>IF(ATIVIDADES!D18&gt;0,ATIVIDADES!D18,"")</f>
        <v>Gestão e Coordenação</v>
      </c>
      <c r="C16" s="213">
        <f>IF(B16="","",VLOOKUP(B16,ATIVIDADES!$D$17:$F$23,2,FALSE))</f>
        <v>46296</v>
      </c>
      <c r="D16" s="214">
        <f>IF(B16="","",VLOOKUP(B16,ATIVIDADES!$D$18:$F$23,3,FALSE))</f>
        <v>36</v>
      </c>
      <c r="E16" s="215">
        <f t="shared" ref="E16:E26" si="0">IF(OR(C16="",D16="",D16=0),"",EDATE(C16,D16)-1)</f>
        <v>47391</v>
      </c>
      <c r="F16" s="216">
        <f>IF(OR($C16="",$D16=""),0,IF(AND($C16&lt;=F$13,$E16&gt;=F$13),1,0))</f>
        <v>1</v>
      </c>
      <c r="G16" s="217">
        <f>IF(OR($C16="",$D16=""),0,IF(AND($C16&lt;=G$13,$E16&gt;=G$13),F16+1,0))</f>
        <v>2</v>
      </c>
      <c r="H16" s="217">
        <f t="shared" ref="H16:AO16" si="1">IF(OR($C16="",$D16=""),0,IF(AND($C16&lt;=H$13,$E16&gt;=H$13),G16+1,0))</f>
        <v>3</v>
      </c>
      <c r="I16" s="217">
        <f t="shared" si="1"/>
        <v>4</v>
      </c>
      <c r="J16" s="217">
        <f t="shared" si="1"/>
        <v>5</v>
      </c>
      <c r="K16" s="217">
        <f t="shared" si="1"/>
        <v>6</v>
      </c>
      <c r="L16" s="217">
        <f t="shared" si="1"/>
        <v>7</v>
      </c>
      <c r="M16" s="217">
        <f t="shared" si="1"/>
        <v>8</v>
      </c>
      <c r="N16" s="217">
        <f t="shared" si="1"/>
        <v>9</v>
      </c>
      <c r="O16" s="217">
        <f t="shared" si="1"/>
        <v>10</v>
      </c>
      <c r="P16" s="217">
        <f t="shared" si="1"/>
        <v>11</v>
      </c>
      <c r="Q16" s="217">
        <f t="shared" si="1"/>
        <v>12</v>
      </c>
      <c r="R16" s="217">
        <f t="shared" si="1"/>
        <v>13</v>
      </c>
      <c r="S16" s="217">
        <f t="shared" si="1"/>
        <v>14</v>
      </c>
      <c r="T16" s="217">
        <f t="shared" si="1"/>
        <v>15</v>
      </c>
      <c r="U16" s="217">
        <f t="shared" si="1"/>
        <v>16</v>
      </c>
      <c r="V16" s="217">
        <f t="shared" si="1"/>
        <v>17</v>
      </c>
      <c r="W16" s="217">
        <f t="shared" si="1"/>
        <v>18</v>
      </c>
      <c r="X16" s="217">
        <f t="shared" si="1"/>
        <v>19</v>
      </c>
      <c r="Y16" s="217">
        <f t="shared" si="1"/>
        <v>20</v>
      </c>
      <c r="Z16" s="217">
        <f t="shared" si="1"/>
        <v>21</v>
      </c>
      <c r="AA16" s="217">
        <f t="shared" si="1"/>
        <v>22</v>
      </c>
      <c r="AB16" s="217">
        <f t="shared" si="1"/>
        <v>23</v>
      </c>
      <c r="AC16" s="217">
        <f t="shared" si="1"/>
        <v>24</v>
      </c>
      <c r="AD16" s="217">
        <f t="shared" si="1"/>
        <v>25</v>
      </c>
      <c r="AE16" s="217">
        <f t="shared" si="1"/>
        <v>26</v>
      </c>
      <c r="AF16" s="217">
        <f t="shared" si="1"/>
        <v>27</v>
      </c>
      <c r="AG16" s="217">
        <f t="shared" si="1"/>
        <v>28</v>
      </c>
      <c r="AH16" s="217">
        <f t="shared" si="1"/>
        <v>29</v>
      </c>
      <c r="AI16" s="217">
        <f t="shared" si="1"/>
        <v>30</v>
      </c>
      <c r="AJ16" s="217">
        <f t="shared" si="1"/>
        <v>31</v>
      </c>
      <c r="AK16" s="217">
        <f t="shared" si="1"/>
        <v>32</v>
      </c>
      <c r="AL16" s="217">
        <f t="shared" si="1"/>
        <v>33</v>
      </c>
      <c r="AM16" s="217">
        <f t="shared" si="1"/>
        <v>34</v>
      </c>
      <c r="AN16" s="217">
        <f t="shared" si="1"/>
        <v>35</v>
      </c>
      <c r="AO16" s="218">
        <f t="shared" si="1"/>
        <v>36</v>
      </c>
    </row>
    <row r="17" spans="2:41">
      <c r="B17" s="212" t="str">
        <f>IF(ATIVIDADES!D19&gt;0,ATIVIDADES!D19,"")</f>
        <v>Avaliação da vitalidade das árvores</v>
      </c>
      <c r="C17" s="213">
        <f>IF(B17="","",VLOOKUP(B17,ATIVIDADES!$D$17:$F$23,2,FALSE))</f>
        <v>46388</v>
      </c>
      <c r="D17" s="214">
        <f>IF(B17="","",VLOOKUP(B17,ATIVIDADES!$D$18:$F$23,3,FALSE))</f>
        <v>25</v>
      </c>
      <c r="E17" s="215">
        <f t="shared" si="0"/>
        <v>47149</v>
      </c>
      <c r="F17" s="216">
        <f t="shared" ref="F17:F26" si="2">IF(OR($C17="",$D17=""),0,IF(AND($C17&lt;=F$13,$E17&gt;=F$13),1,0))</f>
        <v>0</v>
      </c>
      <c r="G17" s="217">
        <f t="shared" ref="G17:AO17" si="3">IF(OR($C17="",$D17=""),0,IF(AND($C17&lt;=G$13,$E17&gt;=G$13),F17+1,0))</f>
        <v>0</v>
      </c>
      <c r="H17" s="217">
        <f t="shared" si="3"/>
        <v>0</v>
      </c>
      <c r="I17" s="217">
        <f t="shared" si="3"/>
        <v>1</v>
      </c>
      <c r="J17" s="217">
        <f t="shared" si="3"/>
        <v>2</v>
      </c>
      <c r="K17" s="217">
        <f t="shared" si="3"/>
        <v>3</v>
      </c>
      <c r="L17" s="217">
        <f t="shared" si="3"/>
        <v>4</v>
      </c>
      <c r="M17" s="217">
        <f t="shared" si="3"/>
        <v>5</v>
      </c>
      <c r="N17" s="217">
        <f t="shared" si="3"/>
        <v>6</v>
      </c>
      <c r="O17" s="217">
        <f t="shared" si="3"/>
        <v>7</v>
      </c>
      <c r="P17" s="217">
        <f t="shared" si="3"/>
        <v>8</v>
      </c>
      <c r="Q17" s="217">
        <f t="shared" si="3"/>
        <v>9</v>
      </c>
      <c r="R17" s="217">
        <f t="shared" si="3"/>
        <v>10</v>
      </c>
      <c r="S17" s="217">
        <f t="shared" si="3"/>
        <v>11</v>
      </c>
      <c r="T17" s="217">
        <f t="shared" si="3"/>
        <v>12</v>
      </c>
      <c r="U17" s="217">
        <f t="shared" si="3"/>
        <v>13</v>
      </c>
      <c r="V17" s="217">
        <f t="shared" si="3"/>
        <v>14</v>
      </c>
      <c r="W17" s="217">
        <f t="shared" si="3"/>
        <v>15</v>
      </c>
      <c r="X17" s="217">
        <f t="shared" si="3"/>
        <v>16</v>
      </c>
      <c r="Y17" s="217">
        <f t="shared" si="3"/>
        <v>17</v>
      </c>
      <c r="Z17" s="217">
        <f t="shared" si="3"/>
        <v>18</v>
      </c>
      <c r="AA17" s="217">
        <f t="shared" si="3"/>
        <v>19</v>
      </c>
      <c r="AB17" s="217">
        <f t="shared" si="3"/>
        <v>20</v>
      </c>
      <c r="AC17" s="217">
        <f t="shared" si="3"/>
        <v>21</v>
      </c>
      <c r="AD17" s="217">
        <f t="shared" si="3"/>
        <v>22</v>
      </c>
      <c r="AE17" s="217">
        <f t="shared" si="3"/>
        <v>23</v>
      </c>
      <c r="AF17" s="217">
        <f t="shared" si="3"/>
        <v>24</v>
      </c>
      <c r="AG17" s="217">
        <f t="shared" si="3"/>
        <v>25</v>
      </c>
      <c r="AH17" s="217">
        <f t="shared" si="3"/>
        <v>0</v>
      </c>
      <c r="AI17" s="217">
        <f t="shared" si="3"/>
        <v>0</v>
      </c>
      <c r="AJ17" s="217">
        <f t="shared" si="3"/>
        <v>0</v>
      </c>
      <c r="AK17" s="217">
        <f t="shared" si="3"/>
        <v>0</v>
      </c>
      <c r="AL17" s="217">
        <f t="shared" si="3"/>
        <v>0</v>
      </c>
      <c r="AM17" s="217">
        <f t="shared" si="3"/>
        <v>0</v>
      </c>
      <c r="AN17" s="217">
        <f t="shared" si="3"/>
        <v>0</v>
      </c>
      <c r="AO17" s="218">
        <f t="shared" si="3"/>
        <v>0</v>
      </c>
    </row>
    <row r="18" spans="2:41">
      <c r="B18" s="212" t="str">
        <f>IF(ATIVIDADES!D20&gt;0,ATIVIDADES!D20,"")</f>
        <v>Ambiente</v>
      </c>
      <c r="C18" s="213">
        <f>IF(B18="","",VLOOKUP(B18,ATIVIDADES!$D$17:$F$23,2,FALSE))</f>
        <v>46388</v>
      </c>
      <c r="D18" s="214">
        <f>IF(B18="","",VLOOKUP(B18,ATIVIDADES!$D$18:$F$23,3,FALSE))</f>
        <v>25</v>
      </c>
      <c r="E18" s="215">
        <f t="shared" si="0"/>
        <v>47149</v>
      </c>
      <c r="F18" s="216">
        <f t="shared" si="2"/>
        <v>0</v>
      </c>
      <c r="G18" s="217">
        <f t="shared" ref="G18:AO18" si="4">IF(OR($C18="",$D18=""),0,IF(AND($C18&lt;=G$13,$E18&gt;=G$13),F18+1,0))</f>
        <v>0</v>
      </c>
      <c r="H18" s="217">
        <f t="shared" si="4"/>
        <v>0</v>
      </c>
      <c r="I18" s="217">
        <f t="shared" si="4"/>
        <v>1</v>
      </c>
      <c r="J18" s="217">
        <f t="shared" si="4"/>
        <v>2</v>
      </c>
      <c r="K18" s="217">
        <f t="shared" si="4"/>
        <v>3</v>
      </c>
      <c r="L18" s="217">
        <f t="shared" si="4"/>
        <v>4</v>
      </c>
      <c r="M18" s="217">
        <f t="shared" si="4"/>
        <v>5</v>
      </c>
      <c r="N18" s="217">
        <f t="shared" si="4"/>
        <v>6</v>
      </c>
      <c r="O18" s="217">
        <f t="shared" si="4"/>
        <v>7</v>
      </c>
      <c r="P18" s="217">
        <f t="shared" si="4"/>
        <v>8</v>
      </c>
      <c r="Q18" s="217">
        <f t="shared" si="4"/>
        <v>9</v>
      </c>
      <c r="R18" s="217">
        <f t="shared" si="4"/>
        <v>10</v>
      </c>
      <c r="S18" s="217">
        <f t="shared" si="4"/>
        <v>11</v>
      </c>
      <c r="T18" s="217">
        <f t="shared" si="4"/>
        <v>12</v>
      </c>
      <c r="U18" s="217">
        <f t="shared" si="4"/>
        <v>13</v>
      </c>
      <c r="V18" s="217">
        <f t="shared" si="4"/>
        <v>14</v>
      </c>
      <c r="W18" s="217">
        <f t="shared" si="4"/>
        <v>15</v>
      </c>
      <c r="X18" s="217">
        <f t="shared" si="4"/>
        <v>16</v>
      </c>
      <c r="Y18" s="217">
        <f t="shared" si="4"/>
        <v>17</v>
      </c>
      <c r="Z18" s="217">
        <f t="shared" si="4"/>
        <v>18</v>
      </c>
      <c r="AA18" s="217">
        <f t="shared" si="4"/>
        <v>19</v>
      </c>
      <c r="AB18" s="217">
        <f t="shared" si="4"/>
        <v>20</v>
      </c>
      <c r="AC18" s="217">
        <f t="shared" si="4"/>
        <v>21</v>
      </c>
      <c r="AD18" s="217">
        <f t="shared" si="4"/>
        <v>22</v>
      </c>
      <c r="AE18" s="217">
        <f t="shared" si="4"/>
        <v>23</v>
      </c>
      <c r="AF18" s="217">
        <f t="shared" si="4"/>
        <v>24</v>
      </c>
      <c r="AG18" s="217">
        <f t="shared" si="4"/>
        <v>25</v>
      </c>
      <c r="AH18" s="217">
        <f t="shared" si="4"/>
        <v>0</v>
      </c>
      <c r="AI18" s="217">
        <f t="shared" si="4"/>
        <v>0</v>
      </c>
      <c r="AJ18" s="217">
        <f t="shared" si="4"/>
        <v>0</v>
      </c>
      <c r="AK18" s="217">
        <f t="shared" si="4"/>
        <v>0</v>
      </c>
      <c r="AL18" s="217">
        <f t="shared" si="4"/>
        <v>0</v>
      </c>
      <c r="AM18" s="217">
        <f t="shared" si="4"/>
        <v>0</v>
      </c>
      <c r="AN18" s="217">
        <f t="shared" si="4"/>
        <v>0</v>
      </c>
      <c r="AO18" s="218">
        <f t="shared" si="4"/>
        <v>0</v>
      </c>
    </row>
    <row r="19" spans="2:41">
      <c r="B19" s="212" t="str">
        <f>IF(ATIVIDADES!D21&gt;0,ATIVIDADES!D21,"")</f>
        <v>Homeostasia e genética</v>
      </c>
      <c r="C19" s="213">
        <f>IF(B19="","",VLOOKUP(B19,ATIVIDADES!$D$17:$F$23,2,FALSE))</f>
        <v>46388</v>
      </c>
      <c r="D19" s="214">
        <f>IF(B19="","",VLOOKUP(B19,ATIVIDADES!$D$18:$F$23,3,FALSE))</f>
        <v>25</v>
      </c>
      <c r="E19" s="215">
        <f t="shared" si="0"/>
        <v>47149</v>
      </c>
      <c r="F19" s="216">
        <f t="shared" si="2"/>
        <v>0</v>
      </c>
      <c r="G19" s="217">
        <f t="shared" ref="G19:AO19" si="5">IF(OR($C19="",$D19=""),0,IF(AND($C19&lt;=G$13,$E19&gt;=G$13),F19+1,0))</f>
        <v>0</v>
      </c>
      <c r="H19" s="217">
        <f t="shared" si="5"/>
        <v>0</v>
      </c>
      <c r="I19" s="217">
        <f t="shared" si="5"/>
        <v>1</v>
      </c>
      <c r="J19" s="217">
        <f t="shared" si="5"/>
        <v>2</v>
      </c>
      <c r="K19" s="217">
        <f t="shared" si="5"/>
        <v>3</v>
      </c>
      <c r="L19" s="217">
        <f t="shared" si="5"/>
        <v>4</v>
      </c>
      <c r="M19" s="217">
        <f t="shared" si="5"/>
        <v>5</v>
      </c>
      <c r="N19" s="217">
        <f t="shared" si="5"/>
        <v>6</v>
      </c>
      <c r="O19" s="217">
        <f t="shared" si="5"/>
        <v>7</v>
      </c>
      <c r="P19" s="217">
        <f t="shared" si="5"/>
        <v>8</v>
      </c>
      <c r="Q19" s="217">
        <f t="shared" si="5"/>
        <v>9</v>
      </c>
      <c r="R19" s="217">
        <f t="shared" si="5"/>
        <v>10</v>
      </c>
      <c r="S19" s="217">
        <f t="shared" si="5"/>
        <v>11</v>
      </c>
      <c r="T19" s="217">
        <f t="shared" si="5"/>
        <v>12</v>
      </c>
      <c r="U19" s="217">
        <f t="shared" si="5"/>
        <v>13</v>
      </c>
      <c r="V19" s="217">
        <f t="shared" si="5"/>
        <v>14</v>
      </c>
      <c r="W19" s="217">
        <f t="shared" si="5"/>
        <v>15</v>
      </c>
      <c r="X19" s="217">
        <f t="shared" si="5"/>
        <v>16</v>
      </c>
      <c r="Y19" s="217">
        <f t="shared" si="5"/>
        <v>17</v>
      </c>
      <c r="Z19" s="217">
        <f t="shared" si="5"/>
        <v>18</v>
      </c>
      <c r="AA19" s="217">
        <f t="shared" si="5"/>
        <v>19</v>
      </c>
      <c r="AB19" s="217">
        <f t="shared" si="5"/>
        <v>20</v>
      </c>
      <c r="AC19" s="217">
        <f t="shared" si="5"/>
        <v>21</v>
      </c>
      <c r="AD19" s="217">
        <f t="shared" si="5"/>
        <v>22</v>
      </c>
      <c r="AE19" s="217">
        <f t="shared" si="5"/>
        <v>23</v>
      </c>
      <c r="AF19" s="217">
        <f t="shared" si="5"/>
        <v>24</v>
      </c>
      <c r="AG19" s="217">
        <f t="shared" si="5"/>
        <v>25</v>
      </c>
      <c r="AH19" s="217">
        <f t="shared" si="5"/>
        <v>0</v>
      </c>
      <c r="AI19" s="217">
        <f t="shared" si="5"/>
        <v>0</v>
      </c>
      <c r="AJ19" s="217">
        <f t="shared" si="5"/>
        <v>0</v>
      </c>
      <c r="AK19" s="217">
        <f t="shared" si="5"/>
        <v>0</v>
      </c>
      <c r="AL19" s="217">
        <f t="shared" si="5"/>
        <v>0</v>
      </c>
      <c r="AM19" s="217">
        <f t="shared" si="5"/>
        <v>0</v>
      </c>
      <c r="AN19" s="217">
        <f t="shared" si="5"/>
        <v>0</v>
      </c>
      <c r="AO19" s="218">
        <f t="shared" si="5"/>
        <v>0</v>
      </c>
    </row>
    <row r="20" spans="2:41">
      <c r="B20" s="212" t="str">
        <f>IF(ATIVIDADES!D22&gt;0,ATIVIDADES!D22,"")</f>
        <v>Análise e interpretação dos dados</v>
      </c>
      <c r="C20" s="213">
        <f>IF(B20="","",VLOOKUP(B20,ATIVIDADES!$D$17:$F$23,2,FALSE))</f>
        <v>46753</v>
      </c>
      <c r="D20" s="214">
        <f>IF(B20="","",VLOOKUP(B20,ATIVIDADES!$D$18:$F$23,3,FALSE))</f>
        <v>19</v>
      </c>
      <c r="E20" s="215">
        <f t="shared" si="0"/>
        <v>47330</v>
      </c>
      <c r="F20" s="216">
        <f t="shared" si="2"/>
        <v>0</v>
      </c>
      <c r="G20" s="217">
        <f t="shared" ref="G20:AO20" si="6">IF(OR($C20="",$D20=""),0,IF(AND($C20&lt;=G$13,$E20&gt;=G$13),F20+1,0))</f>
        <v>0</v>
      </c>
      <c r="H20" s="217">
        <f t="shared" si="6"/>
        <v>0</v>
      </c>
      <c r="I20" s="217">
        <f t="shared" si="6"/>
        <v>0</v>
      </c>
      <c r="J20" s="217">
        <f t="shared" si="6"/>
        <v>0</v>
      </c>
      <c r="K20" s="217">
        <f t="shared" si="6"/>
        <v>0</v>
      </c>
      <c r="L20" s="217">
        <f t="shared" si="6"/>
        <v>0</v>
      </c>
      <c r="M20" s="217">
        <f t="shared" si="6"/>
        <v>0</v>
      </c>
      <c r="N20" s="217">
        <f t="shared" si="6"/>
        <v>0</v>
      </c>
      <c r="O20" s="217">
        <f t="shared" si="6"/>
        <v>0</v>
      </c>
      <c r="P20" s="217">
        <f t="shared" si="6"/>
        <v>0</v>
      </c>
      <c r="Q20" s="217">
        <f t="shared" si="6"/>
        <v>0</v>
      </c>
      <c r="R20" s="217">
        <f t="shared" si="6"/>
        <v>0</v>
      </c>
      <c r="S20" s="217">
        <f t="shared" si="6"/>
        <v>0</v>
      </c>
      <c r="T20" s="217">
        <f t="shared" si="6"/>
        <v>0</v>
      </c>
      <c r="U20" s="217">
        <f t="shared" si="6"/>
        <v>1</v>
      </c>
      <c r="V20" s="217">
        <f t="shared" si="6"/>
        <v>2</v>
      </c>
      <c r="W20" s="217">
        <f t="shared" si="6"/>
        <v>3</v>
      </c>
      <c r="X20" s="217">
        <f t="shared" si="6"/>
        <v>4</v>
      </c>
      <c r="Y20" s="217">
        <f t="shared" si="6"/>
        <v>5</v>
      </c>
      <c r="Z20" s="217">
        <f t="shared" si="6"/>
        <v>6</v>
      </c>
      <c r="AA20" s="217">
        <f t="shared" si="6"/>
        <v>7</v>
      </c>
      <c r="AB20" s="217">
        <f t="shared" si="6"/>
        <v>8</v>
      </c>
      <c r="AC20" s="217">
        <f t="shared" si="6"/>
        <v>9</v>
      </c>
      <c r="AD20" s="217">
        <f t="shared" si="6"/>
        <v>10</v>
      </c>
      <c r="AE20" s="217">
        <f t="shared" si="6"/>
        <v>11</v>
      </c>
      <c r="AF20" s="217">
        <f t="shared" si="6"/>
        <v>12</v>
      </c>
      <c r="AG20" s="217">
        <f t="shared" si="6"/>
        <v>13</v>
      </c>
      <c r="AH20" s="217">
        <f t="shared" si="6"/>
        <v>14</v>
      </c>
      <c r="AI20" s="217">
        <f t="shared" si="6"/>
        <v>15</v>
      </c>
      <c r="AJ20" s="217">
        <f t="shared" si="6"/>
        <v>16</v>
      </c>
      <c r="AK20" s="217">
        <f t="shared" si="6"/>
        <v>17</v>
      </c>
      <c r="AL20" s="217">
        <f t="shared" si="6"/>
        <v>18</v>
      </c>
      <c r="AM20" s="217">
        <f t="shared" si="6"/>
        <v>19</v>
      </c>
      <c r="AN20" s="217">
        <f t="shared" si="6"/>
        <v>0</v>
      </c>
      <c r="AO20" s="218">
        <f t="shared" si="6"/>
        <v>0</v>
      </c>
    </row>
    <row r="21" spans="2:41">
      <c r="B21" s="212" t="str">
        <f>IF(ATIVIDADES!D23&gt;0,ATIVIDADES!D23,"")</f>
        <v>Partilha de conhecimento</v>
      </c>
      <c r="C21" s="213">
        <f>IF(B21="","",VLOOKUP(B21,ATIVIDADES!$D$17:$F$23,2,FALSE))</f>
        <v>46753</v>
      </c>
      <c r="D21" s="214">
        <f>IF(B21="","",VLOOKUP(B21,ATIVIDADES!$D$18:$F$23,3,FALSE))</f>
        <v>21</v>
      </c>
      <c r="E21" s="215">
        <f t="shared" si="0"/>
        <v>47391</v>
      </c>
      <c r="F21" s="216">
        <f t="shared" si="2"/>
        <v>0</v>
      </c>
      <c r="G21" s="217">
        <f t="shared" ref="G21:AO21" si="7">IF(OR($C21="",$D21=""),0,IF(AND($C21&lt;=G$13,$E21&gt;=G$13),F21+1,0))</f>
        <v>0</v>
      </c>
      <c r="H21" s="217">
        <f t="shared" si="7"/>
        <v>0</v>
      </c>
      <c r="I21" s="217">
        <f t="shared" si="7"/>
        <v>0</v>
      </c>
      <c r="J21" s="217">
        <f t="shared" si="7"/>
        <v>0</v>
      </c>
      <c r="K21" s="217">
        <f t="shared" si="7"/>
        <v>0</v>
      </c>
      <c r="L21" s="217">
        <f t="shared" si="7"/>
        <v>0</v>
      </c>
      <c r="M21" s="217">
        <f t="shared" si="7"/>
        <v>0</v>
      </c>
      <c r="N21" s="217">
        <f t="shared" si="7"/>
        <v>0</v>
      </c>
      <c r="O21" s="217">
        <f t="shared" si="7"/>
        <v>0</v>
      </c>
      <c r="P21" s="217">
        <f t="shared" si="7"/>
        <v>0</v>
      </c>
      <c r="Q21" s="217">
        <f t="shared" si="7"/>
        <v>0</v>
      </c>
      <c r="R21" s="217">
        <f t="shared" si="7"/>
        <v>0</v>
      </c>
      <c r="S21" s="217">
        <f t="shared" si="7"/>
        <v>0</v>
      </c>
      <c r="T21" s="217">
        <f t="shared" si="7"/>
        <v>0</v>
      </c>
      <c r="U21" s="217">
        <f t="shared" si="7"/>
        <v>1</v>
      </c>
      <c r="V21" s="217">
        <f t="shared" si="7"/>
        <v>2</v>
      </c>
      <c r="W21" s="217">
        <f t="shared" si="7"/>
        <v>3</v>
      </c>
      <c r="X21" s="217">
        <f t="shared" si="7"/>
        <v>4</v>
      </c>
      <c r="Y21" s="217">
        <f t="shared" si="7"/>
        <v>5</v>
      </c>
      <c r="Z21" s="217">
        <f t="shared" si="7"/>
        <v>6</v>
      </c>
      <c r="AA21" s="217">
        <f t="shared" si="7"/>
        <v>7</v>
      </c>
      <c r="AB21" s="217">
        <f t="shared" si="7"/>
        <v>8</v>
      </c>
      <c r="AC21" s="217">
        <f t="shared" si="7"/>
        <v>9</v>
      </c>
      <c r="AD21" s="217">
        <f t="shared" si="7"/>
        <v>10</v>
      </c>
      <c r="AE21" s="217">
        <f t="shared" si="7"/>
        <v>11</v>
      </c>
      <c r="AF21" s="217">
        <f t="shared" si="7"/>
        <v>12</v>
      </c>
      <c r="AG21" s="217">
        <f t="shared" si="7"/>
        <v>13</v>
      </c>
      <c r="AH21" s="217">
        <f t="shared" si="7"/>
        <v>14</v>
      </c>
      <c r="AI21" s="217">
        <f t="shared" si="7"/>
        <v>15</v>
      </c>
      <c r="AJ21" s="217">
        <f t="shared" si="7"/>
        <v>16</v>
      </c>
      <c r="AK21" s="217">
        <f t="shared" si="7"/>
        <v>17</v>
      </c>
      <c r="AL21" s="217">
        <f t="shared" si="7"/>
        <v>18</v>
      </c>
      <c r="AM21" s="217">
        <f t="shared" si="7"/>
        <v>19</v>
      </c>
      <c r="AN21" s="217">
        <f t="shared" si="7"/>
        <v>20</v>
      </c>
      <c r="AO21" s="218">
        <f t="shared" si="7"/>
        <v>21</v>
      </c>
    </row>
    <row r="22" spans="2:41">
      <c r="B22" s="212" t="str">
        <f>IF(ATIVIDADES!D24&gt;0,ATIVIDADES!D24,"")</f>
        <v/>
      </c>
      <c r="C22" s="213" t="str">
        <f>IF(B22="","",VLOOKUP(B22,ATIVIDADES!$D$17:$F$23,2,FALSE))</f>
        <v/>
      </c>
      <c r="D22" s="214" t="str">
        <f>IF(B22="","",VLOOKUP(B22,ATIVIDADES!$D$18:$F$23,3,FALSE))</f>
        <v/>
      </c>
      <c r="E22" s="215" t="str">
        <f t="shared" si="0"/>
        <v/>
      </c>
      <c r="F22" s="216">
        <f t="shared" si="2"/>
        <v>0</v>
      </c>
      <c r="G22" s="217">
        <f t="shared" ref="G22:AO22" si="8">IF(OR($C22="",$D22=""),0,IF(AND($C22&lt;=G$13,$E22&gt;=G$13),F22+1,0))</f>
        <v>0</v>
      </c>
      <c r="H22" s="217">
        <f t="shared" si="8"/>
        <v>0</v>
      </c>
      <c r="I22" s="217">
        <f t="shared" si="8"/>
        <v>0</v>
      </c>
      <c r="J22" s="217">
        <f t="shared" si="8"/>
        <v>0</v>
      </c>
      <c r="K22" s="217">
        <f t="shared" si="8"/>
        <v>0</v>
      </c>
      <c r="L22" s="217">
        <f t="shared" si="8"/>
        <v>0</v>
      </c>
      <c r="M22" s="217">
        <f t="shared" si="8"/>
        <v>0</v>
      </c>
      <c r="N22" s="217">
        <f t="shared" si="8"/>
        <v>0</v>
      </c>
      <c r="O22" s="217">
        <f t="shared" si="8"/>
        <v>0</v>
      </c>
      <c r="P22" s="217">
        <f t="shared" si="8"/>
        <v>0</v>
      </c>
      <c r="Q22" s="217">
        <f t="shared" si="8"/>
        <v>0</v>
      </c>
      <c r="R22" s="217">
        <f t="shared" si="8"/>
        <v>0</v>
      </c>
      <c r="S22" s="217">
        <f t="shared" si="8"/>
        <v>0</v>
      </c>
      <c r="T22" s="217">
        <f t="shared" si="8"/>
        <v>0</v>
      </c>
      <c r="U22" s="217">
        <f t="shared" si="8"/>
        <v>0</v>
      </c>
      <c r="V22" s="217">
        <f t="shared" si="8"/>
        <v>0</v>
      </c>
      <c r="W22" s="217">
        <f t="shared" si="8"/>
        <v>0</v>
      </c>
      <c r="X22" s="217">
        <f t="shared" si="8"/>
        <v>0</v>
      </c>
      <c r="Y22" s="217">
        <f t="shared" si="8"/>
        <v>0</v>
      </c>
      <c r="Z22" s="217">
        <f t="shared" si="8"/>
        <v>0</v>
      </c>
      <c r="AA22" s="217">
        <f t="shared" si="8"/>
        <v>0</v>
      </c>
      <c r="AB22" s="217">
        <f t="shared" si="8"/>
        <v>0</v>
      </c>
      <c r="AC22" s="217">
        <f t="shared" si="8"/>
        <v>0</v>
      </c>
      <c r="AD22" s="217">
        <f t="shared" si="8"/>
        <v>0</v>
      </c>
      <c r="AE22" s="217">
        <f t="shared" si="8"/>
        <v>0</v>
      </c>
      <c r="AF22" s="217">
        <f t="shared" si="8"/>
        <v>0</v>
      </c>
      <c r="AG22" s="217">
        <f t="shared" si="8"/>
        <v>0</v>
      </c>
      <c r="AH22" s="217">
        <f t="shared" si="8"/>
        <v>0</v>
      </c>
      <c r="AI22" s="217">
        <f t="shared" si="8"/>
        <v>0</v>
      </c>
      <c r="AJ22" s="217">
        <f t="shared" si="8"/>
        <v>0</v>
      </c>
      <c r="AK22" s="217">
        <f t="shared" si="8"/>
        <v>0</v>
      </c>
      <c r="AL22" s="217">
        <f t="shared" si="8"/>
        <v>0</v>
      </c>
      <c r="AM22" s="217">
        <f t="shared" si="8"/>
        <v>0</v>
      </c>
      <c r="AN22" s="217">
        <f t="shared" si="8"/>
        <v>0</v>
      </c>
      <c r="AO22" s="218">
        <f t="shared" si="8"/>
        <v>0</v>
      </c>
    </row>
    <row r="23" spans="2:41">
      <c r="B23" s="212" t="str">
        <f>IF(ATIVIDADES!D25&gt;0,ATIVIDADES!D25,"")</f>
        <v/>
      </c>
      <c r="C23" s="213" t="str">
        <f>IF(B23="","",VLOOKUP(B23,ATIVIDADES!$D$17:$F$23,2,FALSE))</f>
        <v/>
      </c>
      <c r="D23" s="214" t="str">
        <f>IF(B23="","",VLOOKUP(B23,ATIVIDADES!$D$18:$F$23,3,FALSE))</f>
        <v/>
      </c>
      <c r="E23" s="215" t="str">
        <f t="shared" si="0"/>
        <v/>
      </c>
      <c r="F23" s="216">
        <f t="shared" si="2"/>
        <v>0</v>
      </c>
      <c r="G23" s="217">
        <f t="shared" ref="G23:AO23" si="9">IF(OR($C23="",$D23=""),0,IF(AND($C23&lt;=G$13,$E23&gt;=G$13),F23+1,0))</f>
        <v>0</v>
      </c>
      <c r="H23" s="217">
        <f t="shared" si="9"/>
        <v>0</v>
      </c>
      <c r="I23" s="217">
        <f t="shared" si="9"/>
        <v>0</v>
      </c>
      <c r="J23" s="217">
        <f t="shared" si="9"/>
        <v>0</v>
      </c>
      <c r="K23" s="217">
        <f t="shared" si="9"/>
        <v>0</v>
      </c>
      <c r="L23" s="217">
        <f t="shared" si="9"/>
        <v>0</v>
      </c>
      <c r="M23" s="217">
        <f t="shared" si="9"/>
        <v>0</v>
      </c>
      <c r="N23" s="217">
        <f t="shared" si="9"/>
        <v>0</v>
      </c>
      <c r="O23" s="217">
        <f t="shared" si="9"/>
        <v>0</v>
      </c>
      <c r="P23" s="217">
        <f t="shared" si="9"/>
        <v>0</v>
      </c>
      <c r="Q23" s="217">
        <f t="shared" si="9"/>
        <v>0</v>
      </c>
      <c r="R23" s="217">
        <f t="shared" si="9"/>
        <v>0</v>
      </c>
      <c r="S23" s="217">
        <f t="shared" si="9"/>
        <v>0</v>
      </c>
      <c r="T23" s="217">
        <f t="shared" si="9"/>
        <v>0</v>
      </c>
      <c r="U23" s="217">
        <f t="shared" si="9"/>
        <v>0</v>
      </c>
      <c r="V23" s="217">
        <f t="shared" si="9"/>
        <v>0</v>
      </c>
      <c r="W23" s="217">
        <f t="shared" si="9"/>
        <v>0</v>
      </c>
      <c r="X23" s="217">
        <f t="shared" si="9"/>
        <v>0</v>
      </c>
      <c r="Y23" s="217">
        <f t="shared" si="9"/>
        <v>0</v>
      </c>
      <c r="Z23" s="217">
        <f t="shared" si="9"/>
        <v>0</v>
      </c>
      <c r="AA23" s="217">
        <f t="shared" si="9"/>
        <v>0</v>
      </c>
      <c r="AB23" s="217">
        <f t="shared" si="9"/>
        <v>0</v>
      </c>
      <c r="AC23" s="217">
        <f t="shared" si="9"/>
        <v>0</v>
      </c>
      <c r="AD23" s="217">
        <f t="shared" si="9"/>
        <v>0</v>
      </c>
      <c r="AE23" s="217">
        <f t="shared" si="9"/>
        <v>0</v>
      </c>
      <c r="AF23" s="217">
        <f t="shared" si="9"/>
        <v>0</v>
      </c>
      <c r="AG23" s="217">
        <f t="shared" si="9"/>
        <v>0</v>
      </c>
      <c r="AH23" s="217">
        <f t="shared" si="9"/>
        <v>0</v>
      </c>
      <c r="AI23" s="217">
        <f t="shared" si="9"/>
        <v>0</v>
      </c>
      <c r="AJ23" s="217">
        <f t="shared" si="9"/>
        <v>0</v>
      </c>
      <c r="AK23" s="217">
        <f t="shared" si="9"/>
        <v>0</v>
      </c>
      <c r="AL23" s="217">
        <f t="shared" si="9"/>
        <v>0</v>
      </c>
      <c r="AM23" s="217">
        <f t="shared" si="9"/>
        <v>0</v>
      </c>
      <c r="AN23" s="217">
        <f t="shared" si="9"/>
        <v>0</v>
      </c>
      <c r="AO23" s="218">
        <f t="shared" si="9"/>
        <v>0</v>
      </c>
    </row>
    <row r="24" spans="2:41">
      <c r="B24" s="212" t="str">
        <f>IF(ATIVIDADES!D26&gt;0,ATIVIDADES!D26,"")</f>
        <v/>
      </c>
      <c r="C24" s="213" t="str">
        <f>IF(B24="","",VLOOKUP(B24,ATIVIDADES!$D$17:$F$23,2,FALSE))</f>
        <v/>
      </c>
      <c r="D24" s="214" t="str">
        <f>IF(B24="","",VLOOKUP(B24,ATIVIDADES!$D$18:$F$23,3,FALSE))</f>
        <v/>
      </c>
      <c r="E24" s="215" t="str">
        <f t="shared" si="0"/>
        <v/>
      </c>
      <c r="F24" s="216">
        <f t="shared" si="2"/>
        <v>0</v>
      </c>
      <c r="G24" s="217">
        <f t="shared" ref="G24:AO24" si="10">IF(OR($C24="",$D24=""),0,IF(AND($C24&lt;=G$13,$E24&gt;=G$13),F24+1,0))</f>
        <v>0</v>
      </c>
      <c r="H24" s="217">
        <f t="shared" si="10"/>
        <v>0</v>
      </c>
      <c r="I24" s="217">
        <f t="shared" si="10"/>
        <v>0</v>
      </c>
      <c r="J24" s="217">
        <f t="shared" si="10"/>
        <v>0</v>
      </c>
      <c r="K24" s="217">
        <f t="shared" si="10"/>
        <v>0</v>
      </c>
      <c r="L24" s="217">
        <f t="shared" si="10"/>
        <v>0</v>
      </c>
      <c r="M24" s="217">
        <f t="shared" si="10"/>
        <v>0</v>
      </c>
      <c r="N24" s="217">
        <f t="shared" si="10"/>
        <v>0</v>
      </c>
      <c r="O24" s="217">
        <f t="shared" si="10"/>
        <v>0</v>
      </c>
      <c r="P24" s="217">
        <f t="shared" si="10"/>
        <v>0</v>
      </c>
      <c r="Q24" s="217">
        <f t="shared" si="10"/>
        <v>0</v>
      </c>
      <c r="R24" s="217">
        <f t="shared" si="10"/>
        <v>0</v>
      </c>
      <c r="S24" s="217">
        <f t="shared" si="10"/>
        <v>0</v>
      </c>
      <c r="T24" s="217">
        <f t="shared" si="10"/>
        <v>0</v>
      </c>
      <c r="U24" s="217">
        <f t="shared" si="10"/>
        <v>0</v>
      </c>
      <c r="V24" s="217">
        <f t="shared" si="10"/>
        <v>0</v>
      </c>
      <c r="W24" s="217">
        <f t="shared" si="10"/>
        <v>0</v>
      </c>
      <c r="X24" s="217">
        <f t="shared" si="10"/>
        <v>0</v>
      </c>
      <c r="Y24" s="217">
        <f t="shared" si="10"/>
        <v>0</v>
      </c>
      <c r="Z24" s="217">
        <f t="shared" si="10"/>
        <v>0</v>
      </c>
      <c r="AA24" s="217">
        <f t="shared" si="10"/>
        <v>0</v>
      </c>
      <c r="AB24" s="217">
        <f t="shared" si="10"/>
        <v>0</v>
      </c>
      <c r="AC24" s="217">
        <f t="shared" si="10"/>
        <v>0</v>
      </c>
      <c r="AD24" s="217">
        <f t="shared" si="10"/>
        <v>0</v>
      </c>
      <c r="AE24" s="217">
        <f t="shared" si="10"/>
        <v>0</v>
      </c>
      <c r="AF24" s="217">
        <f t="shared" si="10"/>
        <v>0</v>
      </c>
      <c r="AG24" s="217">
        <f t="shared" si="10"/>
        <v>0</v>
      </c>
      <c r="AH24" s="217">
        <f t="shared" si="10"/>
        <v>0</v>
      </c>
      <c r="AI24" s="217">
        <f t="shared" si="10"/>
        <v>0</v>
      </c>
      <c r="AJ24" s="217">
        <f t="shared" si="10"/>
        <v>0</v>
      </c>
      <c r="AK24" s="217">
        <f t="shared" si="10"/>
        <v>0</v>
      </c>
      <c r="AL24" s="217">
        <f t="shared" si="10"/>
        <v>0</v>
      </c>
      <c r="AM24" s="217">
        <f t="shared" si="10"/>
        <v>0</v>
      </c>
      <c r="AN24" s="217">
        <f t="shared" si="10"/>
        <v>0</v>
      </c>
      <c r="AO24" s="218">
        <f t="shared" si="10"/>
        <v>0</v>
      </c>
    </row>
    <row r="25" spans="2:41">
      <c r="B25" s="212" t="str">
        <f>IF(ATIVIDADES!D27&gt;0,ATIVIDADES!D27,"")</f>
        <v/>
      </c>
      <c r="C25" s="213" t="str">
        <f>IF(B25="","",VLOOKUP(B25,ATIVIDADES!$D$17:$F$23,2,FALSE))</f>
        <v/>
      </c>
      <c r="D25" s="214" t="str">
        <f>IF(B25="","",VLOOKUP(B25,ATIVIDADES!$D$18:$F$23,3,FALSE))</f>
        <v/>
      </c>
      <c r="E25" s="215" t="str">
        <f t="shared" si="0"/>
        <v/>
      </c>
      <c r="F25" s="216">
        <f t="shared" si="2"/>
        <v>0</v>
      </c>
      <c r="G25" s="217">
        <f t="shared" ref="G25:AO25" si="11">IF(OR($C25="",$D25=""),0,IF(AND($C25&lt;=G$13,$E25&gt;=G$13),F25+1,0))</f>
        <v>0</v>
      </c>
      <c r="H25" s="217">
        <f t="shared" si="11"/>
        <v>0</v>
      </c>
      <c r="I25" s="217">
        <f t="shared" si="11"/>
        <v>0</v>
      </c>
      <c r="J25" s="217">
        <f t="shared" si="11"/>
        <v>0</v>
      </c>
      <c r="K25" s="217">
        <f t="shared" si="11"/>
        <v>0</v>
      </c>
      <c r="L25" s="217">
        <f t="shared" si="11"/>
        <v>0</v>
      </c>
      <c r="M25" s="217">
        <f t="shared" si="11"/>
        <v>0</v>
      </c>
      <c r="N25" s="217">
        <f t="shared" si="11"/>
        <v>0</v>
      </c>
      <c r="O25" s="217">
        <f t="shared" si="11"/>
        <v>0</v>
      </c>
      <c r="P25" s="217">
        <f t="shared" si="11"/>
        <v>0</v>
      </c>
      <c r="Q25" s="217">
        <f t="shared" si="11"/>
        <v>0</v>
      </c>
      <c r="R25" s="217">
        <f t="shared" si="11"/>
        <v>0</v>
      </c>
      <c r="S25" s="217">
        <f t="shared" si="11"/>
        <v>0</v>
      </c>
      <c r="T25" s="217">
        <f t="shared" si="11"/>
        <v>0</v>
      </c>
      <c r="U25" s="217">
        <f t="shared" si="11"/>
        <v>0</v>
      </c>
      <c r="V25" s="217">
        <f t="shared" si="11"/>
        <v>0</v>
      </c>
      <c r="W25" s="217">
        <f t="shared" si="11"/>
        <v>0</v>
      </c>
      <c r="X25" s="217">
        <f t="shared" si="11"/>
        <v>0</v>
      </c>
      <c r="Y25" s="217">
        <f t="shared" si="11"/>
        <v>0</v>
      </c>
      <c r="Z25" s="217">
        <f t="shared" si="11"/>
        <v>0</v>
      </c>
      <c r="AA25" s="217">
        <f t="shared" si="11"/>
        <v>0</v>
      </c>
      <c r="AB25" s="217">
        <f t="shared" si="11"/>
        <v>0</v>
      </c>
      <c r="AC25" s="217">
        <f t="shared" si="11"/>
        <v>0</v>
      </c>
      <c r="AD25" s="217">
        <f t="shared" si="11"/>
        <v>0</v>
      </c>
      <c r="AE25" s="217">
        <f t="shared" si="11"/>
        <v>0</v>
      </c>
      <c r="AF25" s="217">
        <f t="shared" si="11"/>
        <v>0</v>
      </c>
      <c r="AG25" s="217">
        <f t="shared" si="11"/>
        <v>0</v>
      </c>
      <c r="AH25" s="217">
        <f t="shared" si="11"/>
        <v>0</v>
      </c>
      <c r="AI25" s="217">
        <f t="shared" si="11"/>
        <v>0</v>
      </c>
      <c r="AJ25" s="217">
        <f t="shared" si="11"/>
        <v>0</v>
      </c>
      <c r="AK25" s="217">
        <f t="shared" si="11"/>
        <v>0</v>
      </c>
      <c r="AL25" s="217">
        <f t="shared" si="11"/>
        <v>0</v>
      </c>
      <c r="AM25" s="217">
        <f t="shared" si="11"/>
        <v>0</v>
      </c>
      <c r="AN25" s="217">
        <f t="shared" si="11"/>
        <v>0</v>
      </c>
      <c r="AO25" s="218">
        <f t="shared" si="11"/>
        <v>0</v>
      </c>
    </row>
    <row r="26" spans="2:41" ht="13.5" thickBot="1">
      <c r="B26" s="219" t="str">
        <f>IF(ATIVIDADES!D28&gt;0,ATIVIDADES!D28,"")</f>
        <v/>
      </c>
      <c r="C26" s="220" t="str">
        <f>IF(B26="","",VLOOKUP(B26,ATIVIDADES!$D$17:$F$23,2,FALSE))</f>
        <v/>
      </c>
      <c r="D26" s="221" t="str">
        <f>IF(B26="","",VLOOKUP(B26,ATIVIDADES!$D$18:$F$23,3,FALSE))</f>
        <v/>
      </c>
      <c r="E26" s="222" t="str">
        <f t="shared" si="0"/>
        <v/>
      </c>
      <c r="F26" s="223">
        <f t="shared" si="2"/>
        <v>0</v>
      </c>
      <c r="G26" s="224">
        <f t="shared" ref="G26:AO26" si="12">IF(OR($C26="",$D26=""),0,IF(AND($C26&lt;=G$13,$E26&gt;=G$13),F26+1,0))</f>
        <v>0</v>
      </c>
      <c r="H26" s="224">
        <f t="shared" si="12"/>
        <v>0</v>
      </c>
      <c r="I26" s="224">
        <f t="shared" si="12"/>
        <v>0</v>
      </c>
      <c r="J26" s="224">
        <f t="shared" si="12"/>
        <v>0</v>
      </c>
      <c r="K26" s="224">
        <f t="shared" si="12"/>
        <v>0</v>
      </c>
      <c r="L26" s="224">
        <f t="shared" si="12"/>
        <v>0</v>
      </c>
      <c r="M26" s="224">
        <f t="shared" si="12"/>
        <v>0</v>
      </c>
      <c r="N26" s="224">
        <f t="shared" si="12"/>
        <v>0</v>
      </c>
      <c r="O26" s="224">
        <f t="shared" si="12"/>
        <v>0</v>
      </c>
      <c r="P26" s="224">
        <f t="shared" si="12"/>
        <v>0</v>
      </c>
      <c r="Q26" s="224">
        <f t="shared" si="12"/>
        <v>0</v>
      </c>
      <c r="R26" s="224">
        <f t="shared" si="12"/>
        <v>0</v>
      </c>
      <c r="S26" s="224">
        <f t="shared" si="12"/>
        <v>0</v>
      </c>
      <c r="T26" s="224">
        <f t="shared" si="12"/>
        <v>0</v>
      </c>
      <c r="U26" s="224">
        <f t="shared" si="12"/>
        <v>0</v>
      </c>
      <c r="V26" s="224">
        <f t="shared" si="12"/>
        <v>0</v>
      </c>
      <c r="W26" s="224">
        <f t="shared" si="12"/>
        <v>0</v>
      </c>
      <c r="X26" s="224">
        <f t="shared" si="12"/>
        <v>0</v>
      </c>
      <c r="Y26" s="224">
        <f t="shared" si="12"/>
        <v>0</v>
      </c>
      <c r="Z26" s="224">
        <f t="shared" si="12"/>
        <v>0</v>
      </c>
      <c r="AA26" s="224">
        <f t="shared" si="12"/>
        <v>0</v>
      </c>
      <c r="AB26" s="224">
        <f t="shared" si="12"/>
        <v>0</v>
      </c>
      <c r="AC26" s="224">
        <f t="shared" si="12"/>
        <v>0</v>
      </c>
      <c r="AD26" s="224">
        <f t="shared" si="12"/>
        <v>0</v>
      </c>
      <c r="AE26" s="224">
        <f t="shared" si="12"/>
        <v>0</v>
      </c>
      <c r="AF26" s="224">
        <f t="shared" si="12"/>
        <v>0</v>
      </c>
      <c r="AG26" s="224">
        <f t="shared" si="12"/>
        <v>0</v>
      </c>
      <c r="AH26" s="224">
        <f t="shared" si="12"/>
        <v>0</v>
      </c>
      <c r="AI26" s="224">
        <f t="shared" si="12"/>
        <v>0</v>
      </c>
      <c r="AJ26" s="224">
        <f t="shared" si="12"/>
        <v>0</v>
      </c>
      <c r="AK26" s="224">
        <f t="shared" si="12"/>
        <v>0</v>
      </c>
      <c r="AL26" s="224">
        <f t="shared" si="12"/>
        <v>0</v>
      </c>
      <c r="AM26" s="224">
        <f t="shared" si="12"/>
        <v>0</v>
      </c>
      <c r="AN26" s="224">
        <f t="shared" si="12"/>
        <v>0</v>
      </c>
      <c r="AO26" s="225">
        <f t="shared" si="12"/>
        <v>0</v>
      </c>
    </row>
    <row r="28" spans="2:41" ht="15.5">
      <c r="B28" s="201"/>
      <c r="C28" s="202"/>
      <c r="D28" s="203"/>
      <c r="E28" s="198"/>
    </row>
  </sheetData>
  <sheetProtection selectLockedCells="1"/>
  <protectedRanges>
    <protectedRange algorithmName="SHA-512" hashValue="or8rJyV8C19aAZja0PXuLkBVsWLT3O+tG8eDpuGLvGMddn/1KYrp7Zk66KjEbcpGYA2NYmvhgrCyVqL1ZnIn4w==" saltValue="duC3ZIQItNkZZnHqUWyyFw==" spinCount="100000" sqref="B28:D28 C13:E13 C16:E26" name="DAPI"/>
    <protectedRange algorithmName="SHA-512" hashValue="or8rJyV8C19aAZja0PXuLkBVsWLT3O+tG8eDpuGLvGMddn/1KYrp7Zk66KjEbcpGYA2NYmvhgrCyVqL1ZnIn4w==" saltValue="duC3ZIQItNkZZnHqUWyyFw==" spinCount="100000" sqref="F13:AO26" name="DAPI_1"/>
  </protectedRanges>
  <mergeCells count="4">
    <mergeCell ref="B13:B14"/>
    <mergeCell ref="C13:C14"/>
    <mergeCell ref="D13:D14"/>
    <mergeCell ref="E13:E14"/>
  </mergeCells>
  <phoneticPr fontId="3" type="noConversion"/>
  <conditionalFormatting sqref="F16:AO26">
    <cfRule type="cellIs" dxfId="3" priority="1" operator="greaterThan">
      <formula>0</formula>
    </cfRule>
    <cfRule type="cellIs" dxfId="2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  <pageSetUpPr fitToPage="1"/>
  </sheetPr>
  <dimension ref="B2:AD37"/>
  <sheetViews>
    <sheetView showGridLines="0" topLeftCell="D1" zoomScaleNormal="100" workbookViewId="0">
      <selection activeCell="B22" sqref="B22"/>
    </sheetView>
  </sheetViews>
  <sheetFormatPr defaultColWidth="9.1796875" defaultRowHeight="10.5"/>
  <cols>
    <col min="1" max="1" width="9.54296875" style="226" customWidth="1"/>
    <col min="2" max="2" width="37.7265625" style="226" customWidth="1"/>
    <col min="3" max="3" width="10.7265625" style="226" customWidth="1"/>
    <col min="4" max="4" width="10.54296875" style="226" customWidth="1"/>
    <col min="5" max="5" width="14.1796875" style="226" customWidth="1"/>
    <col min="6" max="6" width="11.1796875" style="226" customWidth="1"/>
    <col min="7" max="7" width="14.26953125" style="226" customWidth="1"/>
    <col min="8" max="8" width="8.81640625" style="226" customWidth="1"/>
    <col min="9" max="9" width="11.1796875" style="226" customWidth="1"/>
    <col min="10" max="10" width="9" style="226" bestFit="1" customWidth="1"/>
    <col min="11" max="11" width="11.81640625" style="226" customWidth="1"/>
    <col min="12" max="12" width="8" style="226" customWidth="1"/>
    <col min="13" max="13" width="11.81640625" style="226" customWidth="1"/>
    <col min="14" max="14" width="9.81640625" style="226" bestFit="1" customWidth="1"/>
    <col min="15" max="15" width="10.81640625" style="226" customWidth="1"/>
    <col min="16" max="16" width="8.54296875" style="226" customWidth="1"/>
    <col min="17" max="17" width="12.54296875" style="226" customWidth="1"/>
    <col min="18" max="20" width="9.1796875" style="226"/>
    <col min="21" max="21" width="10.453125" style="226" customWidth="1"/>
    <col min="22" max="22" width="8.1796875" style="226" bestFit="1" customWidth="1"/>
    <col min="23" max="23" width="9.1796875" style="226"/>
    <col min="24" max="24" width="9.26953125" style="226" customWidth="1"/>
    <col min="25" max="28" width="9.1796875" style="226"/>
    <col min="29" max="29" width="11.7265625" style="226" customWidth="1"/>
    <col min="30" max="30" width="9.81640625" style="226" bestFit="1" customWidth="1"/>
    <col min="31" max="16384" width="9.1796875" style="226"/>
  </cols>
  <sheetData>
    <row r="2" spans="2:22">
      <c r="V2" s="226" t="s">
        <v>164</v>
      </c>
    </row>
    <row r="3" spans="2:22">
      <c r="V3" s="226" t="s">
        <v>165</v>
      </c>
    </row>
    <row r="8" spans="2:22" ht="22.5" customHeight="1"/>
    <row r="9" spans="2:22" ht="23.5">
      <c r="B9" s="66" t="s">
        <v>218</v>
      </c>
    </row>
    <row r="11" spans="2:22">
      <c r="B11" s="227"/>
    </row>
    <row r="12" spans="2:22" ht="21">
      <c r="B12" s="228" t="s">
        <v>47</v>
      </c>
    </row>
    <row r="14" spans="2:22" ht="21">
      <c r="B14" s="229" t="s">
        <v>163</v>
      </c>
      <c r="E14" s="230" t="s">
        <v>164</v>
      </c>
      <c r="F14" s="231" t="s">
        <v>167</v>
      </c>
    </row>
    <row r="15" spans="2:22" ht="15.5">
      <c r="B15" s="232"/>
    </row>
    <row r="16" spans="2:22" ht="15.5">
      <c r="B16" s="232" t="s">
        <v>166</v>
      </c>
    </row>
    <row r="17" spans="2:30" ht="11" thickBot="1">
      <c r="B17" s="233"/>
      <c r="D17" s="234"/>
      <c r="H17" s="234"/>
      <c r="L17" s="234"/>
      <c r="P17" s="234"/>
    </row>
    <row r="18" spans="2:30" ht="13.5" customHeight="1">
      <c r="B18" s="717" t="s">
        <v>48</v>
      </c>
      <c r="C18" s="719" t="s">
        <v>49</v>
      </c>
      <c r="D18" s="721">
        <v>2026</v>
      </c>
      <c r="E18" s="722"/>
      <c r="F18" s="722"/>
      <c r="G18" s="723"/>
      <c r="H18" s="721">
        <v>2027</v>
      </c>
      <c r="I18" s="722"/>
      <c r="J18" s="722"/>
      <c r="K18" s="723"/>
      <c r="L18" s="710">
        <v>2028</v>
      </c>
      <c r="M18" s="711"/>
      <c r="N18" s="711"/>
      <c r="O18" s="712"/>
      <c r="P18" s="710">
        <v>2029</v>
      </c>
      <c r="Q18" s="711"/>
      <c r="R18" s="711"/>
      <c r="S18" s="712"/>
      <c r="T18" s="710">
        <v>2030</v>
      </c>
      <c r="U18" s="711"/>
      <c r="V18" s="711"/>
      <c r="W18" s="712"/>
      <c r="X18" s="713" t="s">
        <v>37</v>
      </c>
      <c r="Y18" s="715" t="s">
        <v>150</v>
      </c>
    </row>
    <row r="19" spans="2:30" ht="21">
      <c r="B19" s="718"/>
      <c r="C19" s="720"/>
      <c r="D19" s="235" t="s">
        <v>50</v>
      </c>
      <c r="E19" s="261" t="s">
        <v>51</v>
      </c>
      <c r="F19" s="261" t="s">
        <v>52</v>
      </c>
      <c r="G19" s="262" t="s">
        <v>53</v>
      </c>
      <c r="H19" s="235" t="s">
        <v>50</v>
      </c>
      <c r="I19" s="261" t="s">
        <v>51</v>
      </c>
      <c r="J19" s="261" t="s">
        <v>52</v>
      </c>
      <c r="K19" s="262" t="s">
        <v>54</v>
      </c>
      <c r="L19" s="235" t="s">
        <v>50</v>
      </c>
      <c r="M19" s="261" t="s">
        <v>51</v>
      </c>
      <c r="N19" s="261" t="s">
        <v>52</v>
      </c>
      <c r="O19" s="262" t="s">
        <v>55</v>
      </c>
      <c r="P19" s="235" t="s">
        <v>50</v>
      </c>
      <c r="Q19" s="261" t="s">
        <v>51</v>
      </c>
      <c r="R19" s="261" t="s">
        <v>52</v>
      </c>
      <c r="S19" s="262" t="s">
        <v>56</v>
      </c>
      <c r="T19" s="271" t="s">
        <v>50</v>
      </c>
      <c r="U19" s="261" t="s">
        <v>51</v>
      </c>
      <c r="V19" s="261" t="s">
        <v>52</v>
      </c>
      <c r="W19" s="262" t="s">
        <v>57</v>
      </c>
      <c r="X19" s="714"/>
      <c r="Y19" s="716"/>
    </row>
    <row r="20" spans="2:30">
      <c r="B20" s="236" t="s">
        <v>58</v>
      </c>
      <c r="C20" s="258">
        <f>VLOOKUP(B20,'Valores bolsas e 57_2016'!$A$1:$B$9,2,FALSE)</f>
        <v>1309.6400000000001</v>
      </c>
      <c r="D20" s="237">
        <v>0</v>
      </c>
      <c r="E20" s="263">
        <f>D20*$AC$25</f>
        <v>0</v>
      </c>
      <c r="F20" s="263">
        <f>+C20*D20</f>
        <v>0</v>
      </c>
      <c r="G20" s="264">
        <f>E20+F20</f>
        <v>0</v>
      </c>
      <c r="H20" s="237">
        <v>12</v>
      </c>
      <c r="I20" s="263">
        <f>H20*$AC$25</f>
        <v>1855.92</v>
      </c>
      <c r="J20" s="263">
        <f>H20*$C$20</f>
        <v>15715.68</v>
      </c>
      <c r="K20" s="264">
        <f>I20+J20</f>
        <v>17571.599999999999</v>
      </c>
      <c r="L20" s="237">
        <v>12</v>
      </c>
      <c r="M20" s="263">
        <f>L20*$AC$25</f>
        <v>1855.92</v>
      </c>
      <c r="N20" s="263">
        <f>L20*$C$20</f>
        <v>15715.68</v>
      </c>
      <c r="O20" s="264">
        <f>M20+N20</f>
        <v>17571.599999999999</v>
      </c>
      <c r="P20" s="237">
        <v>6</v>
      </c>
      <c r="Q20" s="263">
        <f>P20*$AC$25</f>
        <v>927.96</v>
      </c>
      <c r="R20" s="263">
        <f>P20*$C$20</f>
        <v>7857.84</v>
      </c>
      <c r="S20" s="264">
        <f>Q20+R20</f>
        <v>8785.7999999999993</v>
      </c>
      <c r="T20" s="237">
        <v>0</v>
      </c>
      <c r="U20" s="263">
        <f>T20*$AC$25</f>
        <v>0</v>
      </c>
      <c r="V20" s="263">
        <f>T20*$C$20</f>
        <v>0</v>
      </c>
      <c r="W20" s="264">
        <f>U20+V20</f>
        <v>0</v>
      </c>
      <c r="X20" s="272">
        <f>+G20+K20+O20+S20</f>
        <v>43929</v>
      </c>
      <c r="Y20" s="273">
        <f>+T20+P20+L20+H20+D20</f>
        <v>30</v>
      </c>
      <c r="Z20" s="274"/>
      <c r="AA20" s="275"/>
      <c r="AB20" s="275"/>
      <c r="AC20" s="276"/>
      <c r="AD20" s="277"/>
    </row>
    <row r="21" spans="2:30">
      <c r="B21" s="238" t="s">
        <v>58</v>
      </c>
      <c r="C21" s="259">
        <f>VLOOKUP(B21,'Valores bolsas e 57_2016'!$A$1:$B$9,2,FALSE)</f>
        <v>1309.6400000000001</v>
      </c>
      <c r="D21" s="239">
        <v>0</v>
      </c>
      <c r="E21" s="265">
        <f>D21*$AC$25</f>
        <v>0</v>
      </c>
      <c r="F21" s="265">
        <f>+C21*D21</f>
        <v>0</v>
      </c>
      <c r="G21" s="266">
        <f>E21+F21</f>
        <v>0</v>
      </c>
      <c r="H21" s="239">
        <v>12</v>
      </c>
      <c r="I21" s="265">
        <f>H21*$AC$25</f>
        <v>1855.92</v>
      </c>
      <c r="J21" s="265">
        <f>H21*$C$21</f>
        <v>15715.68</v>
      </c>
      <c r="K21" s="266">
        <f>I21+J21</f>
        <v>17571.599999999999</v>
      </c>
      <c r="L21" s="239">
        <v>12</v>
      </c>
      <c r="M21" s="265">
        <f>L21*$AC$25</f>
        <v>1855.92</v>
      </c>
      <c r="N21" s="265">
        <f>L21*$C$21</f>
        <v>15715.68</v>
      </c>
      <c r="O21" s="266">
        <f>M21+N21</f>
        <v>17571.599999999999</v>
      </c>
      <c r="P21" s="239">
        <v>6</v>
      </c>
      <c r="Q21" s="265">
        <f>P21*$AC$25</f>
        <v>927.96</v>
      </c>
      <c r="R21" s="265">
        <f>P21*$C$21</f>
        <v>7857.84</v>
      </c>
      <c r="S21" s="266">
        <f>Q21+R21</f>
        <v>8785.7999999999993</v>
      </c>
      <c r="T21" s="239">
        <v>0</v>
      </c>
      <c r="U21" s="265">
        <f>T21*$AC$25</f>
        <v>0</v>
      </c>
      <c r="V21" s="265">
        <f>T21*$C$21</f>
        <v>0</v>
      </c>
      <c r="W21" s="266">
        <f>U21+V21</f>
        <v>0</v>
      </c>
      <c r="X21" s="278">
        <f>+G21+K21+O21+S21</f>
        <v>43929</v>
      </c>
      <c r="Y21" s="279">
        <f t="shared" ref="Y21:Y23" si="0">+T21+P21+L21+H21+D21</f>
        <v>30</v>
      </c>
      <c r="Z21" s="280"/>
      <c r="AA21" s="277"/>
      <c r="AB21" s="281"/>
      <c r="AC21" s="282"/>
      <c r="AD21" s="277"/>
    </row>
    <row r="22" spans="2:30">
      <c r="B22" s="238" t="s">
        <v>103</v>
      </c>
      <c r="C22" s="259">
        <f>VLOOKUP(B22,'Valores bolsas e 57_2016'!$A$1:$B$9,2,FALSE)</f>
        <v>1851</v>
      </c>
      <c r="D22" s="239">
        <v>0</v>
      </c>
      <c r="E22" s="265">
        <f>D22*$AC$25</f>
        <v>0</v>
      </c>
      <c r="F22" s="265">
        <f>+C22*D22</f>
        <v>0</v>
      </c>
      <c r="G22" s="266">
        <f>E22+F22</f>
        <v>0</v>
      </c>
      <c r="H22" s="239">
        <v>12</v>
      </c>
      <c r="I22" s="265">
        <f>H22*$AC$25</f>
        <v>1855.92</v>
      </c>
      <c r="J22" s="265">
        <f>H22*$C$22</f>
        <v>22212</v>
      </c>
      <c r="K22" s="266">
        <f>I22+J22</f>
        <v>24067.919999999998</v>
      </c>
      <c r="L22" s="239">
        <v>12</v>
      </c>
      <c r="M22" s="265">
        <f>L22*$AC$25</f>
        <v>1855.92</v>
      </c>
      <c r="N22" s="265">
        <f>L22*$C$22</f>
        <v>22212</v>
      </c>
      <c r="O22" s="266">
        <f>M22+N22</f>
        <v>24067.919999999998</v>
      </c>
      <c r="P22" s="239">
        <v>6</v>
      </c>
      <c r="Q22" s="265">
        <f>P22*$AC$25</f>
        <v>927.96</v>
      </c>
      <c r="R22" s="265">
        <f>P22*$C$22</f>
        <v>11106</v>
      </c>
      <c r="S22" s="266">
        <f>Q22+R22</f>
        <v>12033.96</v>
      </c>
      <c r="T22" s="239">
        <v>0</v>
      </c>
      <c r="U22" s="265">
        <f>T22*$AC$25</f>
        <v>0</v>
      </c>
      <c r="V22" s="265">
        <f>T22*$C$22</f>
        <v>0</v>
      </c>
      <c r="W22" s="266">
        <f>U22+V22</f>
        <v>0</v>
      </c>
      <c r="X22" s="278">
        <f>+G22+K22+O22+S22</f>
        <v>60169.799999999996</v>
      </c>
      <c r="Y22" s="279">
        <f t="shared" si="0"/>
        <v>30</v>
      </c>
      <c r="Z22" s="280"/>
      <c r="AA22" s="277"/>
      <c r="AB22" s="281"/>
      <c r="AC22" s="282"/>
      <c r="AD22" s="277"/>
    </row>
    <row r="23" spans="2:30">
      <c r="B23" s="238" t="s">
        <v>59</v>
      </c>
      <c r="C23" s="259">
        <f>VLOOKUP(B23,'Valores bolsas e 57_2016'!$A$1:$B$9,2,FALSE)</f>
        <v>0</v>
      </c>
      <c r="D23" s="241">
        <v>0</v>
      </c>
      <c r="E23" s="267">
        <f>D23*$AC$25</f>
        <v>0</v>
      </c>
      <c r="F23" s="267">
        <f>+C23*D23</f>
        <v>0</v>
      </c>
      <c r="G23" s="268">
        <f>E23+F23</f>
        <v>0</v>
      </c>
      <c r="H23" s="241">
        <v>0</v>
      </c>
      <c r="I23" s="267">
        <f>H23*$AC$25</f>
        <v>0</v>
      </c>
      <c r="J23" s="267">
        <f>H23*$C$23</f>
        <v>0</v>
      </c>
      <c r="K23" s="268">
        <f>I23+J23</f>
        <v>0</v>
      </c>
      <c r="L23" s="241"/>
      <c r="M23" s="267">
        <f>L23*$AC$25</f>
        <v>0</v>
      </c>
      <c r="N23" s="267">
        <f>L23*$C$23</f>
        <v>0</v>
      </c>
      <c r="O23" s="268">
        <f>M23+N23</f>
        <v>0</v>
      </c>
      <c r="P23" s="241">
        <v>0</v>
      </c>
      <c r="Q23" s="267">
        <f>P23*$AC$25</f>
        <v>0</v>
      </c>
      <c r="R23" s="267">
        <f>P23*$C$23</f>
        <v>0</v>
      </c>
      <c r="S23" s="268">
        <f>Q23+R23</f>
        <v>0</v>
      </c>
      <c r="T23" s="241">
        <v>0</v>
      </c>
      <c r="U23" s="267">
        <f>T23*$AC$25</f>
        <v>0</v>
      </c>
      <c r="V23" s="267">
        <f>T23*$C$23</f>
        <v>0</v>
      </c>
      <c r="W23" s="268">
        <f>U23+V23</f>
        <v>0</v>
      </c>
      <c r="X23" s="283">
        <f>+G23+K23+O23+S23</f>
        <v>0</v>
      </c>
      <c r="Y23" s="273">
        <f t="shared" si="0"/>
        <v>0</v>
      </c>
      <c r="Z23" s="280"/>
      <c r="AA23" s="277"/>
      <c r="AB23" s="281"/>
      <c r="AC23" s="282"/>
      <c r="AD23" s="277"/>
    </row>
    <row r="24" spans="2:30" ht="11" thickBot="1">
      <c r="B24" s="242" t="s">
        <v>37</v>
      </c>
      <c r="C24" s="260"/>
      <c r="D24" s="243"/>
      <c r="E24" s="269">
        <f>SUM(E20:E23)</f>
        <v>0</v>
      </c>
      <c r="F24" s="269">
        <f>SUM(F20:F23)</f>
        <v>0</v>
      </c>
      <c r="G24" s="270">
        <f>SUM(G20:G23)</f>
        <v>0</v>
      </c>
      <c r="H24" s="243"/>
      <c r="I24" s="244">
        <f>SUM(I20:I23)</f>
        <v>5567.76</v>
      </c>
      <c r="J24" s="244">
        <f>SUM(J20:J23)</f>
        <v>53643.360000000001</v>
      </c>
      <c r="K24" s="245">
        <f>SUM(K20:K23)</f>
        <v>59211.119999999995</v>
      </c>
      <c r="L24" s="243"/>
      <c r="M24" s="244">
        <f>SUM(M20:M23)</f>
        <v>5567.76</v>
      </c>
      <c r="N24" s="244">
        <f>SUM(N20:N23)</f>
        <v>53643.360000000001</v>
      </c>
      <c r="O24" s="245">
        <f>SUM(O20:O23)</f>
        <v>59211.119999999995</v>
      </c>
      <c r="P24" s="243"/>
      <c r="Q24" s="269">
        <f>SUM(Q20:Q23)</f>
        <v>2783.88</v>
      </c>
      <c r="R24" s="269">
        <f>SUM(R20:R23)</f>
        <v>26821.68</v>
      </c>
      <c r="S24" s="270">
        <f>SUM(S20:S23)</f>
        <v>29605.559999999998</v>
      </c>
      <c r="T24" s="243"/>
      <c r="U24" s="269">
        <f>SUM(U20:U23)</f>
        <v>0</v>
      </c>
      <c r="V24" s="269">
        <f>SUM(V20:V23)</f>
        <v>0</v>
      </c>
      <c r="W24" s="270">
        <f>SUM(W20:W23)</f>
        <v>0</v>
      </c>
      <c r="X24" s="284">
        <f>SUM(X20:X23)</f>
        <v>148027.79999999999</v>
      </c>
      <c r="Y24" s="285"/>
      <c r="Z24" s="277" t="s">
        <v>60</v>
      </c>
      <c r="AA24" s="277"/>
      <c r="AB24" s="281"/>
      <c r="AC24" s="282"/>
      <c r="AD24" s="277"/>
    </row>
    <row r="25" spans="2:30">
      <c r="B25" s="246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U25" s="277"/>
      <c r="V25" s="277"/>
      <c r="W25" s="277"/>
      <c r="X25" s="277"/>
      <c r="Y25" s="286">
        <f>SUM(Y20:Y23)</f>
        <v>90</v>
      </c>
      <c r="Z25" s="287">
        <v>2025</v>
      </c>
      <c r="AA25" s="288">
        <v>0</v>
      </c>
      <c r="AB25" s="289"/>
      <c r="AC25" s="290">
        <v>154.66</v>
      </c>
      <c r="AD25" s="277"/>
    </row>
    <row r="26" spans="2:30" ht="12.5">
      <c r="B26" s="248" t="s">
        <v>61</v>
      </c>
      <c r="E26" s="249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</row>
    <row r="27" spans="2:30" s="250" customFormat="1"/>
    <row r="28" spans="2:30" s="250" customFormat="1"/>
    <row r="29" spans="2:30" s="250" customFormat="1"/>
    <row r="30" spans="2:30" s="250" customFormat="1">
      <c r="B30" s="251"/>
      <c r="C30" s="251"/>
      <c r="D30" s="251"/>
      <c r="E30" s="252"/>
    </row>
    <row r="31" spans="2:30" s="250" customFormat="1">
      <c r="C31" s="253"/>
      <c r="D31" s="254"/>
      <c r="E31" s="253"/>
    </row>
    <row r="32" spans="2:30" s="250" customFormat="1">
      <c r="B32" s="255"/>
      <c r="C32" s="253"/>
      <c r="D32" s="254"/>
      <c r="E32" s="254"/>
    </row>
    <row r="33" spans="2:5" s="250" customFormat="1">
      <c r="B33" s="255"/>
      <c r="C33" s="253"/>
      <c r="D33" s="254"/>
      <c r="E33" s="254"/>
    </row>
    <row r="34" spans="2:5">
      <c r="C34" s="256"/>
      <c r="D34" s="247"/>
      <c r="E34" s="254"/>
    </row>
    <row r="35" spans="2:5">
      <c r="D35" s="247"/>
      <c r="E35" s="254"/>
    </row>
    <row r="37" spans="2:5">
      <c r="C37" s="257"/>
    </row>
  </sheetData>
  <sheetProtection selectLockedCells="1"/>
  <dataConsolidate/>
  <mergeCells count="9">
    <mergeCell ref="P18:S18"/>
    <mergeCell ref="T18:W18"/>
    <mergeCell ref="X18:X19"/>
    <mergeCell ref="Y18:Y19"/>
    <mergeCell ref="B18:B19"/>
    <mergeCell ref="C18:C19"/>
    <mergeCell ref="D18:G18"/>
    <mergeCell ref="H18:K18"/>
    <mergeCell ref="L18:O18"/>
  </mergeCells>
  <dataValidations count="1">
    <dataValidation type="list" allowBlank="1" showInputMessage="1" showErrorMessage="1" sqref="E14">
      <formula1>$V$2:$V$3</formula1>
    </dataValidation>
  </dataValidations>
  <hyperlinks>
    <hyperlink ref="B26" r:id="rId1"/>
  </hyperlinks>
  <pageMargins left="0.19685039370078741" right="0.15748031496062992" top="0.25" bottom="0.39370078740157483" header="0.23622047244094491" footer="0.15748031496062992"/>
  <pageSetup paperSize="9" scale="44" fitToHeight="0" orientation="landscape" r:id="rId2"/>
  <headerFooter alignWithMargins="0">
    <oddFooter>&amp;L&amp;"-,Normal"&amp;9&amp;K01+049&amp;D/&amp;T&amp;C&amp;"-,Normal"&amp;8&amp;K01+049&amp;F/&amp;A&amp;R&amp;"-,Normal"&amp;8&amp;K01+049&amp;P/&amp;N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'Valores bolsas e 57_2016'!$A$1:$A$5</xm:f>
          </x14:formula1>
          <xm:sqref>B20:B23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  <pageSetUpPr fitToPage="1"/>
  </sheetPr>
  <dimension ref="B8:AD40"/>
  <sheetViews>
    <sheetView showGridLines="0" topLeftCell="D2" zoomScaleNormal="100" workbookViewId="0">
      <selection activeCell="B33" sqref="B33"/>
    </sheetView>
  </sheetViews>
  <sheetFormatPr defaultColWidth="9.1796875" defaultRowHeight="10.5"/>
  <cols>
    <col min="1" max="1" width="9.54296875" style="226" customWidth="1"/>
    <col min="2" max="2" width="37.7265625" style="226" customWidth="1"/>
    <col min="3" max="3" width="10.7265625" style="226" customWidth="1"/>
    <col min="4" max="4" width="10.54296875" style="226" customWidth="1"/>
    <col min="5" max="5" width="14.1796875" style="226" customWidth="1"/>
    <col min="6" max="6" width="11.1796875" style="226" customWidth="1"/>
    <col min="7" max="7" width="14.26953125" style="226" customWidth="1"/>
    <col min="8" max="8" width="8.81640625" style="226" customWidth="1"/>
    <col min="9" max="9" width="11.1796875" style="226" customWidth="1"/>
    <col min="10" max="10" width="9" style="226" bestFit="1" customWidth="1"/>
    <col min="11" max="11" width="11.81640625" style="226" customWidth="1"/>
    <col min="12" max="12" width="8" style="226" customWidth="1"/>
    <col min="13" max="13" width="11.81640625" style="226" customWidth="1"/>
    <col min="14" max="14" width="9.81640625" style="226" bestFit="1" customWidth="1"/>
    <col min="15" max="15" width="10.81640625" style="226" customWidth="1"/>
    <col min="16" max="16" width="8.54296875" style="226" customWidth="1"/>
    <col min="17" max="17" width="12.54296875" style="226" customWidth="1"/>
    <col min="18" max="20" width="9.1796875" style="226"/>
    <col min="21" max="21" width="10.453125" style="226" customWidth="1"/>
    <col min="22" max="22" width="8.1796875" style="226" bestFit="1" customWidth="1"/>
    <col min="23" max="23" width="9.1796875" style="226"/>
    <col min="24" max="24" width="9.26953125" style="226" customWidth="1"/>
    <col min="25" max="28" width="9.1796875" style="226"/>
    <col min="29" max="29" width="11.7265625" style="226" customWidth="1"/>
    <col min="30" max="30" width="9.81640625" style="226" bestFit="1" customWidth="1"/>
    <col min="31" max="16384" width="9.1796875" style="226"/>
  </cols>
  <sheetData>
    <row r="8" spans="2:22" ht="22.5" customHeight="1"/>
    <row r="9" spans="2:22" ht="23.5">
      <c r="B9" s="66" t="s">
        <v>218</v>
      </c>
      <c r="V9" s="226" t="s">
        <v>164</v>
      </c>
    </row>
    <row r="10" spans="2:22">
      <c r="V10" s="226" t="s">
        <v>165</v>
      </c>
    </row>
    <row r="11" spans="2:22">
      <c r="B11" s="227"/>
    </row>
    <row r="12" spans="2:22" ht="21">
      <c r="B12" s="228" t="s">
        <v>47</v>
      </c>
    </row>
    <row r="14" spans="2:22" ht="21">
      <c r="B14" s="229" t="s">
        <v>169</v>
      </c>
      <c r="E14" s="230" t="s">
        <v>165</v>
      </c>
      <c r="F14" s="231" t="s">
        <v>167</v>
      </c>
    </row>
    <row r="15" spans="2:22" ht="15.5">
      <c r="B15" s="232"/>
    </row>
    <row r="16" spans="2:22" ht="18.5">
      <c r="B16" s="232" t="s">
        <v>168</v>
      </c>
      <c r="D16" s="291"/>
      <c r="E16" s="292"/>
      <c r="F16" s="291"/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</row>
    <row r="17" spans="2:30" ht="13.5" thickBot="1">
      <c r="B17" s="293"/>
      <c r="D17" s="291"/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</row>
    <row r="18" spans="2:30" ht="21.75" customHeight="1">
      <c r="B18" s="726" t="s">
        <v>62</v>
      </c>
      <c r="C18" s="728" t="s">
        <v>63</v>
      </c>
      <c r="D18" s="730">
        <v>2025</v>
      </c>
      <c r="E18" s="731"/>
      <c r="F18" s="731"/>
      <c r="G18" s="731"/>
      <c r="H18" s="731"/>
      <c r="I18" s="732"/>
      <c r="J18" s="730">
        <v>2026</v>
      </c>
      <c r="K18" s="731"/>
      <c r="L18" s="731"/>
      <c r="M18" s="731"/>
      <c r="N18" s="731"/>
      <c r="O18" s="732"/>
      <c r="P18" s="730">
        <v>2027</v>
      </c>
      <c r="Q18" s="731"/>
      <c r="R18" s="731"/>
      <c r="S18" s="731"/>
      <c r="T18" s="731"/>
      <c r="U18" s="732"/>
      <c r="V18" s="730">
        <v>2028</v>
      </c>
      <c r="W18" s="731"/>
      <c r="X18" s="731"/>
      <c r="Y18" s="731"/>
      <c r="Z18" s="731"/>
      <c r="AA18" s="732"/>
      <c r="AB18" s="724" t="s">
        <v>25</v>
      </c>
      <c r="AC18" s="725"/>
      <c r="AD18" s="294"/>
    </row>
    <row r="19" spans="2:30" ht="35.25" customHeight="1" thickBot="1">
      <c r="B19" s="727"/>
      <c r="C19" s="729"/>
      <c r="D19" s="295" t="s">
        <v>64</v>
      </c>
      <c r="E19" s="326" t="s">
        <v>65</v>
      </c>
      <c r="F19" s="326" t="s">
        <v>66</v>
      </c>
      <c r="G19" s="326" t="s">
        <v>67</v>
      </c>
      <c r="H19" s="326" t="s">
        <v>68</v>
      </c>
      <c r="I19" s="327" t="s">
        <v>69</v>
      </c>
      <c r="J19" s="295" t="s">
        <v>64</v>
      </c>
      <c r="K19" s="326" t="s">
        <v>65</v>
      </c>
      <c r="L19" s="326" t="s">
        <v>66</v>
      </c>
      <c r="M19" s="326" t="s">
        <v>67</v>
      </c>
      <c r="N19" s="326" t="s">
        <v>68</v>
      </c>
      <c r="O19" s="327" t="s">
        <v>70</v>
      </c>
      <c r="P19" s="295" t="s">
        <v>64</v>
      </c>
      <c r="Q19" s="326" t="s">
        <v>65</v>
      </c>
      <c r="R19" s="326" t="s">
        <v>66</v>
      </c>
      <c r="S19" s="326" t="s">
        <v>67</v>
      </c>
      <c r="T19" s="326" t="s">
        <v>68</v>
      </c>
      <c r="U19" s="327" t="s">
        <v>71</v>
      </c>
      <c r="V19" s="295" t="s">
        <v>64</v>
      </c>
      <c r="W19" s="345" t="s">
        <v>65</v>
      </c>
      <c r="X19" s="345" t="s">
        <v>66</v>
      </c>
      <c r="Y19" s="345" t="s">
        <v>67</v>
      </c>
      <c r="Z19" s="345" t="s">
        <v>68</v>
      </c>
      <c r="AA19" s="327" t="s">
        <v>72</v>
      </c>
      <c r="AB19" s="351" t="s">
        <v>64</v>
      </c>
      <c r="AC19" s="352" t="s">
        <v>52</v>
      </c>
      <c r="AD19" s="296"/>
    </row>
    <row r="20" spans="2:30">
      <c r="B20" s="297" t="s">
        <v>73</v>
      </c>
      <c r="C20" s="323">
        <f>VLOOKUP(B20,'Valores bolsas e 57_2016'!$A$7:$B$12,2,FALSE)</f>
        <v>0</v>
      </c>
      <c r="D20" s="298">
        <v>0</v>
      </c>
      <c r="E20" s="328">
        <f>+C20*D20</f>
        <v>0</v>
      </c>
      <c r="F20" s="328">
        <f>(+E20*$C$26)+(G20*$C$26)</f>
        <v>0</v>
      </c>
      <c r="G20" s="328">
        <f>+((D20/12)*2)*C20</f>
        <v>0</v>
      </c>
      <c r="H20" s="329">
        <f>IF(D20=0,0, $C$27*(D20-1)*22)</f>
        <v>0</v>
      </c>
      <c r="I20" s="330">
        <f>+E20+F20+G20+H20</f>
        <v>0</v>
      </c>
      <c r="J20" s="298">
        <v>0</v>
      </c>
      <c r="K20" s="328">
        <f>+C20*J20</f>
        <v>0</v>
      </c>
      <c r="L20" s="328">
        <f>(+K20*$C$26)+(M20*$C$26)</f>
        <v>0</v>
      </c>
      <c r="M20" s="328">
        <f>+((J20/12)*2)*C20</f>
        <v>0</v>
      </c>
      <c r="N20" s="329">
        <f>IF(J20=0,0, $C$27*(J20-1)*22)</f>
        <v>0</v>
      </c>
      <c r="O20" s="330">
        <f>+K20+L20+M20+N20</f>
        <v>0</v>
      </c>
      <c r="P20" s="298">
        <v>0</v>
      </c>
      <c r="Q20" s="328">
        <f>+C20*P20</f>
        <v>0</v>
      </c>
      <c r="R20" s="328">
        <f>(+Q20*$C$26)+(S20*$C$26)</f>
        <v>0</v>
      </c>
      <c r="S20" s="328">
        <f>+((P20/12)*2)*C20</f>
        <v>0</v>
      </c>
      <c r="T20" s="329">
        <f>IF(P20=0,0, $C$27*(P20-1)*22)</f>
        <v>0</v>
      </c>
      <c r="U20" s="342">
        <f>+Q20+R20+S20+T20</f>
        <v>0</v>
      </c>
      <c r="V20" s="298">
        <v>0</v>
      </c>
      <c r="W20" s="346">
        <f>+C20*V20</f>
        <v>0</v>
      </c>
      <c r="X20" s="346">
        <f>(+W20*$C$26)+(Y20*$C$26)</f>
        <v>0</v>
      </c>
      <c r="Y20" s="346">
        <f>+((V20/12)*2)*C20</f>
        <v>0</v>
      </c>
      <c r="Z20" s="347">
        <f>IF(V20=0,0, $C$27*(V20-1)*22)</f>
        <v>0</v>
      </c>
      <c r="AA20" s="348">
        <f>+W20+X20+Y20+Z20</f>
        <v>0</v>
      </c>
      <c r="AB20" s="353">
        <f>+V20+P20+J20+D20</f>
        <v>0</v>
      </c>
      <c r="AC20" s="354">
        <f>+AA20+U20+O20+I20</f>
        <v>0</v>
      </c>
      <c r="AD20" s="299"/>
    </row>
    <row r="21" spans="2:30">
      <c r="B21" s="300" t="s">
        <v>73</v>
      </c>
      <c r="C21" s="324">
        <f>VLOOKUP(B21,'Valores bolsas e 57_2016'!$A$7:$B$12,2,FALSE)</f>
        <v>0</v>
      </c>
      <c r="D21" s="301">
        <v>0</v>
      </c>
      <c r="E21" s="331">
        <f>+C21*D21</f>
        <v>0</v>
      </c>
      <c r="F21" s="331">
        <f>(+E21*$C$26)+(G21*$C$26)</f>
        <v>0</v>
      </c>
      <c r="G21" s="331">
        <f>+((D21/12)*2)*C21</f>
        <v>0</v>
      </c>
      <c r="H21" s="332">
        <f>IF(D21=0,0, $C$27*(D21-1)*22)</f>
        <v>0</v>
      </c>
      <c r="I21" s="333">
        <f>+E21+F21+G21+H21</f>
        <v>0</v>
      </c>
      <c r="J21" s="301">
        <v>0</v>
      </c>
      <c r="K21" s="331">
        <f>+C21*J21</f>
        <v>0</v>
      </c>
      <c r="L21" s="331">
        <f>(+K21*$C$26)+(M21*$C$26)</f>
        <v>0</v>
      </c>
      <c r="M21" s="331">
        <f t="shared" ref="M21:M23" si="0">+((J21/12)*2)*C21</f>
        <v>0</v>
      </c>
      <c r="N21" s="332">
        <f t="shared" ref="N21:N23" si="1">IF(J21=0,0, $C$27*(J21-1)*22)</f>
        <v>0</v>
      </c>
      <c r="O21" s="333">
        <f>+K21+L21+M21+N21</f>
        <v>0</v>
      </c>
      <c r="P21" s="301">
        <v>0</v>
      </c>
      <c r="Q21" s="331">
        <f>+C21*P21</f>
        <v>0</v>
      </c>
      <c r="R21" s="331">
        <f>(+Q21*$C$26)+(S21*$C$26)</f>
        <v>0</v>
      </c>
      <c r="S21" s="331">
        <f>+((P21/12)*2)*C21</f>
        <v>0</v>
      </c>
      <c r="T21" s="332">
        <f t="shared" ref="T21:T23" si="2">IF(P21=0,0, $C$27*(P21-1)*22)</f>
        <v>0</v>
      </c>
      <c r="U21" s="343">
        <f>+Q21+R21+S21+T21</f>
        <v>0</v>
      </c>
      <c r="V21" s="301">
        <v>0</v>
      </c>
      <c r="W21" s="331">
        <f>+C21*V21</f>
        <v>0</v>
      </c>
      <c r="X21" s="331">
        <f>(+W21*$C$26)+(Y21*$C$26)</f>
        <v>0</v>
      </c>
      <c r="Y21" s="331">
        <f>+((V21/12)*2)*C21</f>
        <v>0</v>
      </c>
      <c r="Z21" s="332">
        <f>IF(V21=0,0, $C$27*(V21-1)*22)</f>
        <v>0</v>
      </c>
      <c r="AA21" s="349">
        <f>+W21+X21+Y21+Z21</f>
        <v>0</v>
      </c>
      <c r="AB21" s="355">
        <f t="shared" ref="AB21:AB23" si="3">+V21+P21+J21+D21</f>
        <v>0</v>
      </c>
      <c r="AC21" s="356">
        <f t="shared" ref="AC21:AC23" si="4">+AA21+U21+O21+I21</f>
        <v>0</v>
      </c>
      <c r="AD21" s="299"/>
    </row>
    <row r="22" spans="2:30">
      <c r="B22" s="300" t="s">
        <v>73</v>
      </c>
      <c r="C22" s="324">
        <f>VLOOKUP(B22,'Valores bolsas e 57_2016'!$A$7:$B$12,2,FALSE)</f>
        <v>0</v>
      </c>
      <c r="D22" s="301">
        <v>0</v>
      </c>
      <c r="E22" s="331">
        <f>+C22*D22</f>
        <v>0</v>
      </c>
      <c r="F22" s="331">
        <f>(+E22*$C$26)+(G22*$C$26)</f>
        <v>0</v>
      </c>
      <c r="G22" s="331">
        <f t="shared" ref="G22:G23" si="5">+((D22/12)*2)*C22</f>
        <v>0</v>
      </c>
      <c r="H22" s="332">
        <f t="shared" ref="H22:H23" si="6">IF(D22=0,0, $C$27*(D22-1)*22)</f>
        <v>0</v>
      </c>
      <c r="I22" s="333">
        <f>+E22+F22+G22+H22</f>
        <v>0</v>
      </c>
      <c r="J22" s="301">
        <v>0</v>
      </c>
      <c r="K22" s="331">
        <f t="shared" ref="K22:K23" si="7">+C22*J22</f>
        <v>0</v>
      </c>
      <c r="L22" s="331">
        <f>(+K22*$C$26)+(M22*$C$26)</f>
        <v>0</v>
      </c>
      <c r="M22" s="331">
        <f t="shared" si="0"/>
        <v>0</v>
      </c>
      <c r="N22" s="332">
        <f t="shared" si="1"/>
        <v>0</v>
      </c>
      <c r="O22" s="333">
        <f>+K22+L22+M22+N22</f>
        <v>0</v>
      </c>
      <c r="P22" s="301">
        <v>0</v>
      </c>
      <c r="Q22" s="331">
        <f>+C22*P22</f>
        <v>0</v>
      </c>
      <c r="R22" s="331">
        <f>(+Q22*$C$26)+(S22*$C$26)</f>
        <v>0</v>
      </c>
      <c r="S22" s="331">
        <f>+((P22/12)*2)*C22</f>
        <v>0</v>
      </c>
      <c r="T22" s="332">
        <f t="shared" si="2"/>
        <v>0</v>
      </c>
      <c r="U22" s="343">
        <f>+Q22+R22+S22+T22</f>
        <v>0</v>
      </c>
      <c r="V22" s="301">
        <v>0</v>
      </c>
      <c r="W22" s="331">
        <f>+C22*V22</f>
        <v>0</v>
      </c>
      <c r="X22" s="331">
        <f>(+W22*$C$26)+(Y22*$C$26)</f>
        <v>0</v>
      </c>
      <c r="Y22" s="331">
        <f>+((V22/12)*2)*C22</f>
        <v>0</v>
      </c>
      <c r="Z22" s="332">
        <f t="shared" ref="Z22:Z23" si="8">IF(V22=0,0, $C$27*(V22-1)*22)</f>
        <v>0</v>
      </c>
      <c r="AA22" s="349">
        <f>+W22+X22+Y22+Z22</f>
        <v>0</v>
      </c>
      <c r="AB22" s="355">
        <f t="shared" si="3"/>
        <v>0</v>
      </c>
      <c r="AC22" s="356">
        <f t="shared" si="4"/>
        <v>0</v>
      </c>
      <c r="AD22" s="299"/>
    </row>
    <row r="23" spans="2:30">
      <c r="B23" s="302" t="s">
        <v>73</v>
      </c>
      <c r="C23" s="325">
        <f>VLOOKUP(B23,'Valores bolsas e 57_2016'!$A$7:$B$12,2,FALSE)</f>
        <v>0</v>
      </c>
      <c r="D23" s="303">
        <v>0</v>
      </c>
      <c r="E23" s="334">
        <f>+C23*D23</f>
        <v>0</v>
      </c>
      <c r="F23" s="334">
        <f>(+E23*$C$26)+(G23*$C$26)</f>
        <v>0</v>
      </c>
      <c r="G23" s="334">
        <f t="shared" si="5"/>
        <v>0</v>
      </c>
      <c r="H23" s="335">
        <f t="shared" si="6"/>
        <v>0</v>
      </c>
      <c r="I23" s="336">
        <f>+E23+F23+G23+H23</f>
        <v>0</v>
      </c>
      <c r="J23" s="303">
        <v>0</v>
      </c>
      <c r="K23" s="334">
        <f t="shared" si="7"/>
        <v>0</v>
      </c>
      <c r="L23" s="334">
        <f>(+K23*$C$26)+(M23*$C$26)</f>
        <v>0</v>
      </c>
      <c r="M23" s="334">
        <f t="shared" si="0"/>
        <v>0</v>
      </c>
      <c r="N23" s="335">
        <f t="shared" si="1"/>
        <v>0</v>
      </c>
      <c r="O23" s="336">
        <f>+K23+L23+M23+N23</f>
        <v>0</v>
      </c>
      <c r="P23" s="303">
        <v>0</v>
      </c>
      <c r="Q23" s="334">
        <f>+C23*P23</f>
        <v>0</v>
      </c>
      <c r="R23" s="334">
        <f>(+Q23*$C$26)+(S23*$C$26)</f>
        <v>0</v>
      </c>
      <c r="S23" s="334">
        <f>+((P23/12)*2)*C23</f>
        <v>0</v>
      </c>
      <c r="T23" s="335">
        <f t="shared" si="2"/>
        <v>0</v>
      </c>
      <c r="U23" s="344">
        <f>+Q23+R23+S23+T23</f>
        <v>0</v>
      </c>
      <c r="V23" s="303">
        <v>0</v>
      </c>
      <c r="W23" s="334">
        <f>+C23*V23</f>
        <v>0</v>
      </c>
      <c r="X23" s="334">
        <f>(+W23*$C$26)+(Y23*$C$26)</f>
        <v>0</v>
      </c>
      <c r="Y23" s="334">
        <f>+((V23/12)*2)*C23</f>
        <v>0</v>
      </c>
      <c r="Z23" s="335">
        <f t="shared" si="8"/>
        <v>0</v>
      </c>
      <c r="AA23" s="350">
        <f>+W23+X23+Y23+Z23</f>
        <v>0</v>
      </c>
      <c r="AB23" s="357">
        <f t="shared" si="3"/>
        <v>0</v>
      </c>
      <c r="AC23" s="358">
        <f t="shared" si="4"/>
        <v>0</v>
      </c>
      <c r="AD23" s="299"/>
    </row>
    <row r="24" spans="2:30" ht="11" thickBot="1">
      <c r="B24" s="304" t="s">
        <v>37</v>
      </c>
      <c r="C24" s="305"/>
      <c r="D24" s="306"/>
      <c r="E24" s="337"/>
      <c r="F24" s="338"/>
      <c r="G24" s="339"/>
      <c r="H24" s="340"/>
      <c r="I24" s="341">
        <f>SUM(I20:I23)</f>
        <v>0</v>
      </c>
      <c r="J24" s="306"/>
      <c r="K24" s="307"/>
      <c r="L24" s="308"/>
      <c r="M24" s="309"/>
      <c r="N24" s="310"/>
      <c r="O24" s="311">
        <f>SUM(O20:O23)</f>
        <v>0</v>
      </c>
      <c r="P24" s="306"/>
      <c r="Q24" s="337"/>
      <c r="R24" s="338"/>
      <c r="S24" s="339"/>
      <c r="T24" s="340"/>
      <c r="U24" s="341">
        <f>SUM(U20:U23)</f>
        <v>0</v>
      </c>
      <c r="V24" s="306"/>
      <c r="W24" s="337"/>
      <c r="X24" s="338"/>
      <c r="Y24" s="339"/>
      <c r="Z24" s="340"/>
      <c r="AA24" s="341">
        <f>SUM(AA20:AA23)</f>
        <v>0</v>
      </c>
      <c r="AB24" s="359">
        <f>SUM(AB20:AB23)</f>
        <v>0</v>
      </c>
      <c r="AC24" s="341">
        <f>SUM(AC20:AC23)</f>
        <v>0</v>
      </c>
      <c r="AD24" s="312"/>
    </row>
    <row r="25" spans="2:30">
      <c r="B25" s="277"/>
      <c r="C25" s="277"/>
      <c r="D25" s="317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</row>
    <row r="26" spans="2:30">
      <c r="B26" s="318" t="s">
        <v>74</v>
      </c>
      <c r="C26" s="319">
        <v>0.23749999999999999</v>
      </c>
      <c r="D26" s="320">
        <f>C20*C26</f>
        <v>0</v>
      </c>
      <c r="E26" s="291"/>
      <c r="F26" s="291"/>
      <c r="G26" s="291"/>
      <c r="H26" s="291"/>
      <c r="I26" s="291"/>
      <c r="J26" s="291"/>
      <c r="K26" s="291"/>
      <c r="L26" s="291"/>
      <c r="M26" s="313"/>
      <c r="N26" s="314"/>
      <c r="O26" s="291"/>
      <c r="P26" s="291"/>
      <c r="Q26" s="291"/>
      <c r="AB26" s="291" t="s">
        <v>75</v>
      </c>
      <c r="AC26" s="315"/>
    </row>
    <row r="27" spans="2:30">
      <c r="B27" s="318" t="s">
        <v>76</v>
      </c>
      <c r="C27" s="321">
        <v>6</v>
      </c>
      <c r="D27" s="322">
        <f>C27*22</f>
        <v>132</v>
      </c>
      <c r="E27" s="313"/>
      <c r="F27" s="316"/>
      <c r="G27" s="313"/>
      <c r="H27" s="316"/>
      <c r="I27" s="314"/>
      <c r="J27" s="291"/>
      <c r="K27" s="291"/>
      <c r="L27" s="291"/>
      <c r="M27" s="291"/>
      <c r="N27" s="291"/>
      <c r="O27" s="291"/>
      <c r="P27" s="291"/>
      <c r="Q27" s="291"/>
    </row>
    <row r="29" spans="2:30" s="250" customFormat="1"/>
    <row r="30" spans="2:30" s="250" customFormat="1"/>
    <row r="31" spans="2:30" s="250" customFormat="1"/>
    <row r="32" spans="2:30" s="250" customFormat="1"/>
    <row r="33" spans="2:5" s="250" customFormat="1">
      <c r="B33" s="251"/>
      <c r="C33" s="251"/>
      <c r="D33" s="251"/>
      <c r="E33" s="252"/>
    </row>
    <row r="34" spans="2:5" s="250" customFormat="1">
      <c r="C34" s="253"/>
      <c r="D34" s="254"/>
      <c r="E34" s="253"/>
    </row>
    <row r="35" spans="2:5" s="250" customFormat="1">
      <c r="B35" s="255"/>
      <c r="C35" s="253"/>
      <c r="D35" s="254"/>
      <c r="E35" s="254"/>
    </row>
    <row r="36" spans="2:5" s="250" customFormat="1">
      <c r="B36" s="255"/>
      <c r="C36" s="253"/>
      <c r="D36" s="254"/>
      <c r="E36" s="254"/>
    </row>
    <row r="37" spans="2:5">
      <c r="C37" s="256"/>
      <c r="D37" s="247"/>
      <c r="E37" s="254"/>
    </row>
    <row r="38" spans="2:5">
      <c r="D38" s="247"/>
      <c r="E38" s="254"/>
    </row>
    <row r="40" spans="2:5">
      <c r="C40" s="257"/>
    </row>
  </sheetData>
  <sheetProtection selectLockedCells="1"/>
  <dataConsolidate/>
  <mergeCells count="7">
    <mergeCell ref="AB18:AC18"/>
    <mergeCell ref="B18:B19"/>
    <mergeCell ref="C18:C19"/>
    <mergeCell ref="D18:I18"/>
    <mergeCell ref="J18:O18"/>
    <mergeCell ref="P18:U18"/>
    <mergeCell ref="V18:AA18"/>
  </mergeCells>
  <dataValidations count="1">
    <dataValidation type="list" allowBlank="1" showInputMessage="1" showErrorMessage="1" sqref="E14">
      <formula1>$V$9:$V$10</formula1>
    </dataValidation>
  </dataValidations>
  <pageMargins left="0.19685039370078741" right="0.15748031496062992" top="0.25" bottom="0.39370078740157483" header="0.23622047244094491" footer="0.15748031496062992"/>
  <pageSetup paperSize="9" scale="44" fitToHeight="0" orientation="landscape" r:id="rId1"/>
  <headerFooter alignWithMargins="0">
    <oddFooter>&amp;L&amp;"-,Normal"&amp;9&amp;K01+049&amp;D/&amp;T&amp;C&amp;"-,Normal"&amp;8&amp;K01+049&amp;F/&amp;A&amp;R&amp;"-,Normal"&amp;8&amp;K01+049&amp;P/&amp;N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'Valores bolsas e 57_2016'!$A$7:$A$12</xm:f>
          </x14:formula1>
          <xm:sqref>B20:B23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3:W47"/>
  <sheetViews>
    <sheetView showGridLines="0" topLeftCell="A17" zoomScaleNormal="100" workbookViewId="0">
      <selection activeCell="I30" sqref="I30"/>
    </sheetView>
  </sheetViews>
  <sheetFormatPr defaultColWidth="9.1796875" defaultRowHeight="10.5"/>
  <cols>
    <col min="1" max="1" width="9.54296875" style="22" customWidth="1"/>
    <col min="2" max="2" width="4.26953125" style="22" customWidth="1"/>
    <col min="3" max="3" width="30.1796875" style="22" customWidth="1"/>
    <col min="4" max="4" width="22.453125" style="22" customWidth="1"/>
    <col min="5" max="5" width="15.1796875" style="22" customWidth="1"/>
    <col min="6" max="6" width="10.81640625" style="22" customWidth="1"/>
    <col min="7" max="7" width="8.54296875" style="22" customWidth="1"/>
    <col min="8" max="8" width="12.54296875" style="22" customWidth="1"/>
    <col min="9" max="11" width="9.1796875" style="22"/>
    <col min="12" max="12" width="10.453125" style="22" customWidth="1"/>
    <col min="13" max="13" width="4" style="22" customWidth="1"/>
    <col min="14" max="14" width="9.1796875" style="22"/>
    <col min="15" max="15" width="9.26953125" style="22" customWidth="1"/>
    <col min="16" max="19" width="9.1796875" style="22"/>
    <col min="20" max="20" width="11.7265625" style="22" customWidth="1"/>
    <col min="21" max="21" width="9.81640625" style="22" bestFit="1" customWidth="1"/>
    <col min="22" max="16384" width="9.1796875" style="22"/>
  </cols>
  <sheetData>
    <row r="3" spans="2:23">
      <c r="W3" s="22" t="s">
        <v>164</v>
      </c>
    </row>
    <row r="4" spans="2:23">
      <c r="W4" s="22" t="s">
        <v>165</v>
      </c>
    </row>
    <row r="8" spans="2:23" ht="22.5" customHeight="1"/>
    <row r="9" spans="2:23" ht="23.5">
      <c r="B9" s="66" t="s">
        <v>218</v>
      </c>
    </row>
    <row r="11" spans="2:23">
      <c r="B11" s="360"/>
    </row>
    <row r="12" spans="2:23" ht="21">
      <c r="B12" s="361" t="s">
        <v>182</v>
      </c>
    </row>
    <row r="13" spans="2:23" ht="21">
      <c r="B13" s="361"/>
    </row>
    <row r="14" spans="2:23" ht="198" customHeight="1">
      <c r="B14" s="733" t="s">
        <v>189</v>
      </c>
      <c r="C14" s="733"/>
      <c r="D14" s="733"/>
      <c r="E14" s="733"/>
      <c r="F14" s="733"/>
      <c r="G14" s="733"/>
      <c r="H14" s="733"/>
      <c r="I14" s="733"/>
      <c r="J14" s="733"/>
      <c r="K14" s="733"/>
      <c r="L14" s="733"/>
    </row>
    <row r="15" spans="2:23" s="30" customFormat="1" ht="11" thickBot="1">
      <c r="C15" s="104"/>
      <c r="D15" s="105"/>
    </row>
    <row r="16" spans="2:23" s="30" customFormat="1" ht="12.5" thickBot="1">
      <c r="B16" s="742" t="s">
        <v>178</v>
      </c>
      <c r="C16" s="734" t="s">
        <v>184</v>
      </c>
      <c r="D16" s="747" t="s">
        <v>179</v>
      </c>
      <c r="E16" s="734" t="s">
        <v>180</v>
      </c>
      <c r="F16" s="737" t="s">
        <v>181</v>
      </c>
      <c r="G16" s="738"/>
      <c r="H16" s="738"/>
      <c r="I16" s="738"/>
      <c r="J16" s="738"/>
      <c r="K16" s="738"/>
      <c r="L16" s="739"/>
    </row>
    <row r="17" spans="2:12" s="30" customFormat="1" ht="12">
      <c r="B17" s="743"/>
      <c r="C17" s="745"/>
      <c r="D17" s="748"/>
      <c r="E17" s="735"/>
      <c r="F17" s="363">
        <f>YEAR(RESUMO!E32)</f>
        <v>2026</v>
      </c>
      <c r="G17" s="364">
        <f>F17+1</f>
        <v>2027</v>
      </c>
      <c r="H17" s="364">
        <f>G17+1</f>
        <v>2028</v>
      </c>
      <c r="I17" s="364">
        <f>H17+1</f>
        <v>2029</v>
      </c>
      <c r="J17" s="364">
        <f>I17+1</f>
        <v>2030</v>
      </c>
      <c r="K17" s="364">
        <f>J17+1</f>
        <v>2031</v>
      </c>
      <c r="L17" s="740" t="s">
        <v>37</v>
      </c>
    </row>
    <row r="18" spans="2:12" ht="12.5" thickBot="1">
      <c r="B18" s="744"/>
      <c r="C18" s="746"/>
      <c r="D18" s="749"/>
      <c r="E18" s="736"/>
      <c r="F18" s="365">
        <f>IF(YEAR(RESUMO!E51)=F17,RESUMO!F51*0.916666666666667,"")</f>
        <v>2.7500000000000009</v>
      </c>
      <c r="G18" s="365">
        <f>+RESUMO!F52*11/12</f>
        <v>11</v>
      </c>
      <c r="H18" s="365">
        <f>+RESUMO!F53*11/12</f>
        <v>11</v>
      </c>
      <c r="I18" s="365">
        <f>IF(YEAR(RESUMO!E55)=I17,RESUMO!F55*11/12,"")</f>
        <v>8.25</v>
      </c>
      <c r="J18" s="365" t="str">
        <f>IF(YEAR(RESUMO!F55)=J17,RESUMO!G55*11/12,"")</f>
        <v/>
      </c>
      <c r="K18" s="365" t="str">
        <f>IF(YEAR(RESUMO!G55)=K17,RESUMO!H55*11/12,"")</f>
        <v/>
      </c>
      <c r="L18" s="741"/>
    </row>
    <row r="19" spans="2:12">
      <c r="B19" s="379">
        <f>IF(C19&gt;0,1,"")</f>
        <v>1</v>
      </c>
      <c r="C19" s="141" t="s">
        <v>221</v>
      </c>
      <c r="D19" s="142" t="s">
        <v>165</v>
      </c>
      <c r="E19" s="143">
        <v>0.35</v>
      </c>
      <c r="F19" s="366">
        <f>IF($F$18="",0,$E19*$F$18)</f>
        <v>0.96250000000000024</v>
      </c>
      <c r="G19" s="367">
        <f>+$E19*$G$18</f>
        <v>3.8499999999999996</v>
      </c>
      <c r="H19" s="367">
        <f>+$E19*$H$18</f>
        <v>3.8499999999999996</v>
      </c>
      <c r="I19" s="367">
        <f>IF($I$18="",0,$E19*$I$18)</f>
        <v>2.8874999999999997</v>
      </c>
      <c r="J19" s="366"/>
      <c r="K19" s="366"/>
      <c r="L19" s="368">
        <f>SUM(F19:K19)</f>
        <v>11.549999999999999</v>
      </c>
    </row>
    <row r="20" spans="2:12">
      <c r="B20" s="380">
        <f>IF(C20&gt;0,B19+1,"")</f>
        <v>2</v>
      </c>
      <c r="C20" s="140" t="s">
        <v>224</v>
      </c>
      <c r="D20" s="140" t="s">
        <v>165</v>
      </c>
      <c r="E20" s="144">
        <v>0.15</v>
      </c>
      <c r="F20" s="369">
        <f t="shared" ref="F20:F22" si="0">IF($F$18="",0,$E20*$F$18)</f>
        <v>0.41250000000000014</v>
      </c>
      <c r="G20" s="369">
        <f t="shared" ref="G20:G31" si="1">+$E20*$G$18</f>
        <v>1.65</v>
      </c>
      <c r="H20" s="369">
        <f t="shared" ref="H20:H31" si="2">+$E20*$H$18</f>
        <v>1.65</v>
      </c>
      <c r="I20" s="369">
        <f t="shared" ref="I20:I31" si="3">IF($I$18="",0,$E20*$I$18)</f>
        <v>1.2375</v>
      </c>
      <c r="J20" s="370"/>
      <c r="K20" s="370"/>
      <c r="L20" s="371">
        <f>SUM(F20:K20)</f>
        <v>4.95</v>
      </c>
    </row>
    <row r="21" spans="2:12">
      <c r="B21" s="380">
        <f t="shared" ref="B21:B30" si="4">IF(C21&gt;0,B20+1,"")</f>
        <v>3</v>
      </c>
      <c r="C21" s="140" t="s">
        <v>222</v>
      </c>
      <c r="D21" s="140" t="s">
        <v>165</v>
      </c>
      <c r="E21" s="144">
        <v>0.15</v>
      </c>
      <c r="F21" s="369">
        <f t="shared" si="0"/>
        <v>0.41250000000000014</v>
      </c>
      <c r="G21" s="369">
        <f t="shared" si="1"/>
        <v>1.65</v>
      </c>
      <c r="H21" s="369">
        <f t="shared" si="2"/>
        <v>1.65</v>
      </c>
      <c r="I21" s="369">
        <f t="shared" si="3"/>
        <v>1.2375</v>
      </c>
      <c r="J21" s="370"/>
      <c r="K21" s="370"/>
      <c r="L21" s="371">
        <f t="shared" ref="L21:L32" si="5">SUM(F21:K21)</f>
        <v>4.95</v>
      </c>
    </row>
    <row r="22" spans="2:12">
      <c r="B22" s="380">
        <f t="shared" si="4"/>
        <v>4</v>
      </c>
      <c r="C22" s="519" t="s">
        <v>223</v>
      </c>
      <c r="D22" s="519" t="s">
        <v>165</v>
      </c>
      <c r="E22" s="520">
        <v>0.05</v>
      </c>
      <c r="F22" s="369">
        <f t="shared" si="0"/>
        <v>0.13750000000000004</v>
      </c>
      <c r="G22" s="369">
        <f t="shared" si="1"/>
        <v>0.55000000000000004</v>
      </c>
      <c r="H22" s="369">
        <f t="shared" si="2"/>
        <v>0.55000000000000004</v>
      </c>
      <c r="I22" s="369">
        <f t="shared" si="3"/>
        <v>0.41250000000000003</v>
      </c>
      <c r="J22" s="370"/>
      <c r="K22" s="370"/>
      <c r="L22" s="371">
        <f t="shared" si="5"/>
        <v>1.6500000000000004</v>
      </c>
    </row>
    <row r="23" spans="2:12">
      <c r="B23" s="380">
        <f t="shared" si="4"/>
        <v>5</v>
      </c>
      <c r="C23" s="519" t="s">
        <v>225</v>
      </c>
      <c r="D23" s="519" t="s">
        <v>165</v>
      </c>
      <c r="E23" s="520">
        <v>0.05</v>
      </c>
      <c r="F23" s="369">
        <f>IF($F$18="",0,$E23*$F$18)</f>
        <v>0.13750000000000004</v>
      </c>
      <c r="G23" s="369">
        <f t="shared" si="1"/>
        <v>0.55000000000000004</v>
      </c>
      <c r="H23" s="369">
        <f t="shared" si="2"/>
        <v>0.55000000000000004</v>
      </c>
      <c r="I23" s="369">
        <f t="shared" si="3"/>
        <v>0.41250000000000003</v>
      </c>
      <c r="J23" s="370"/>
      <c r="K23" s="370"/>
      <c r="L23" s="371">
        <f t="shared" si="5"/>
        <v>1.6500000000000004</v>
      </c>
    </row>
    <row r="24" spans="2:12">
      <c r="B24" s="380">
        <f t="shared" si="4"/>
        <v>6</v>
      </c>
      <c r="C24" s="519" t="s">
        <v>226</v>
      </c>
      <c r="D24" s="519" t="s">
        <v>165</v>
      </c>
      <c r="E24" s="520">
        <v>0.05</v>
      </c>
      <c r="F24" s="369">
        <f>IF($F$18="",0,$E24*$F$18)</f>
        <v>0.13750000000000004</v>
      </c>
      <c r="G24" s="369">
        <f t="shared" si="1"/>
        <v>0.55000000000000004</v>
      </c>
      <c r="H24" s="369">
        <f t="shared" si="2"/>
        <v>0.55000000000000004</v>
      </c>
      <c r="I24" s="369">
        <f t="shared" si="3"/>
        <v>0.41250000000000003</v>
      </c>
      <c r="J24" s="370"/>
      <c r="K24" s="370"/>
      <c r="L24" s="371">
        <f t="shared" si="5"/>
        <v>1.6500000000000004</v>
      </c>
    </row>
    <row r="25" spans="2:12">
      <c r="B25" s="380">
        <f t="shared" si="4"/>
        <v>7</v>
      </c>
      <c r="C25" s="140" t="s">
        <v>227</v>
      </c>
      <c r="D25" s="140" t="s">
        <v>165</v>
      </c>
      <c r="E25" s="144">
        <v>0.05</v>
      </c>
      <c r="F25" s="369">
        <f t="shared" ref="F25:F31" si="6">IF($F$18="",0,$E25*$F$18)</f>
        <v>0.13750000000000004</v>
      </c>
      <c r="G25" s="369">
        <f t="shared" si="1"/>
        <v>0.55000000000000004</v>
      </c>
      <c r="H25" s="369">
        <f t="shared" si="2"/>
        <v>0.55000000000000004</v>
      </c>
      <c r="I25" s="369">
        <f t="shared" si="3"/>
        <v>0.41250000000000003</v>
      </c>
      <c r="J25" s="370"/>
      <c r="K25" s="370"/>
      <c r="L25" s="371">
        <f t="shared" si="5"/>
        <v>1.6500000000000004</v>
      </c>
    </row>
    <row r="26" spans="2:12">
      <c r="B26" s="380">
        <f t="shared" si="4"/>
        <v>8</v>
      </c>
      <c r="C26" s="140" t="s">
        <v>228</v>
      </c>
      <c r="D26" s="140" t="s">
        <v>165</v>
      </c>
      <c r="E26" s="144">
        <v>0.05</v>
      </c>
      <c r="F26" s="369">
        <f>IF($F$18="",0,$E26*$F$18)</f>
        <v>0.13750000000000004</v>
      </c>
      <c r="G26" s="369">
        <f t="shared" si="1"/>
        <v>0.55000000000000004</v>
      </c>
      <c r="H26" s="369">
        <f t="shared" si="2"/>
        <v>0.55000000000000004</v>
      </c>
      <c r="I26" s="369">
        <f t="shared" si="3"/>
        <v>0.41250000000000003</v>
      </c>
      <c r="J26" s="370"/>
      <c r="K26" s="370"/>
      <c r="L26" s="371">
        <f t="shared" si="5"/>
        <v>1.6500000000000004</v>
      </c>
    </row>
    <row r="27" spans="2:12">
      <c r="B27" s="380">
        <f t="shared" si="4"/>
        <v>9</v>
      </c>
      <c r="C27" s="140" t="s">
        <v>229</v>
      </c>
      <c r="D27" s="140" t="s">
        <v>165</v>
      </c>
      <c r="E27" s="144">
        <v>0.05</v>
      </c>
      <c r="F27" s="369">
        <f t="shared" si="6"/>
        <v>0.13750000000000004</v>
      </c>
      <c r="G27" s="369">
        <f t="shared" si="1"/>
        <v>0.55000000000000004</v>
      </c>
      <c r="H27" s="369">
        <f t="shared" si="2"/>
        <v>0.55000000000000004</v>
      </c>
      <c r="I27" s="369">
        <f t="shared" si="3"/>
        <v>0.41250000000000003</v>
      </c>
      <c r="J27" s="370"/>
      <c r="K27" s="370"/>
      <c r="L27" s="371">
        <f t="shared" si="5"/>
        <v>1.6500000000000004</v>
      </c>
    </row>
    <row r="28" spans="2:12">
      <c r="B28" s="380">
        <f t="shared" si="4"/>
        <v>10</v>
      </c>
      <c r="C28" s="140" t="s">
        <v>230</v>
      </c>
      <c r="D28" s="140" t="s">
        <v>165</v>
      </c>
      <c r="E28" s="144">
        <v>0.15</v>
      </c>
      <c r="F28" s="369">
        <f t="shared" si="6"/>
        <v>0.41250000000000014</v>
      </c>
      <c r="G28" s="369">
        <f t="shared" si="1"/>
        <v>1.65</v>
      </c>
      <c r="H28" s="369">
        <f t="shared" si="2"/>
        <v>1.65</v>
      </c>
      <c r="I28" s="369">
        <f t="shared" si="3"/>
        <v>1.2375</v>
      </c>
      <c r="J28" s="370"/>
      <c r="K28" s="370"/>
      <c r="L28" s="371">
        <f t="shared" si="5"/>
        <v>4.95</v>
      </c>
    </row>
    <row r="29" spans="2:12">
      <c r="B29" s="380">
        <f t="shared" si="4"/>
        <v>11</v>
      </c>
      <c r="C29" s="519" t="s">
        <v>231</v>
      </c>
      <c r="D29" s="519" t="s">
        <v>165</v>
      </c>
      <c r="E29" s="520">
        <v>0.02</v>
      </c>
      <c r="F29" s="369">
        <f t="shared" si="6"/>
        <v>5.5000000000000021E-2</v>
      </c>
      <c r="G29" s="369">
        <f t="shared" si="1"/>
        <v>0.22</v>
      </c>
      <c r="H29" s="369">
        <f t="shared" si="2"/>
        <v>0.22</v>
      </c>
      <c r="I29" s="369">
        <f t="shared" si="3"/>
        <v>0.16500000000000001</v>
      </c>
      <c r="J29" s="370"/>
      <c r="K29" s="370"/>
      <c r="L29" s="371">
        <f t="shared" si="5"/>
        <v>0.66</v>
      </c>
    </row>
    <row r="30" spans="2:12">
      <c r="B30" s="380">
        <f t="shared" si="4"/>
        <v>12</v>
      </c>
      <c r="C30" s="140" t="s">
        <v>232</v>
      </c>
      <c r="D30" s="140" t="s">
        <v>165</v>
      </c>
      <c r="E30" s="144">
        <v>0.2</v>
      </c>
      <c r="F30" s="369">
        <f t="shared" si="6"/>
        <v>0.55000000000000016</v>
      </c>
      <c r="G30" s="369">
        <f t="shared" si="1"/>
        <v>2.2000000000000002</v>
      </c>
      <c r="H30" s="369">
        <f t="shared" si="2"/>
        <v>2.2000000000000002</v>
      </c>
      <c r="I30" s="369">
        <f t="shared" si="3"/>
        <v>1.6500000000000001</v>
      </c>
      <c r="J30" s="370"/>
      <c r="K30" s="370"/>
      <c r="L30" s="371">
        <f t="shared" si="5"/>
        <v>6.6000000000000014</v>
      </c>
    </row>
    <row r="31" spans="2:12">
      <c r="B31" s="380">
        <v>13</v>
      </c>
      <c r="C31" s="140" t="s">
        <v>241</v>
      </c>
      <c r="D31" s="140" t="s">
        <v>165</v>
      </c>
      <c r="E31" s="144">
        <v>0.15</v>
      </c>
      <c r="F31" s="369">
        <f t="shared" si="6"/>
        <v>0.41250000000000014</v>
      </c>
      <c r="G31" s="369">
        <f t="shared" si="1"/>
        <v>1.65</v>
      </c>
      <c r="H31" s="369">
        <f t="shared" si="2"/>
        <v>1.65</v>
      </c>
      <c r="I31" s="369">
        <f t="shared" si="3"/>
        <v>1.2375</v>
      </c>
      <c r="J31" s="370"/>
      <c r="K31" s="370"/>
      <c r="L31" s="371">
        <f t="shared" si="5"/>
        <v>4.95</v>
      </c>
    </row>
    <row r="32" spans="2:12">
      <c r="B32" s="380">
        <v>14</v>
      </c>
      <c r="C32" s="140" t="s">
        <v>242</v>
      </c>
      <c r="D32" s="140" t="s">
        <v>165</v>
      </c>
      <c r="E32" s="144">
        <v>0.1</v>
      </c>
      <c r="F32" s="369">
        <f>IF($F$18="",0,$E32*$F$18)</f>
        <v>0.27500000000000008</v>
      </c>
      <c r="G32" s="369">
        <f>+$E32*$G$18</f>
        <v>1.1000000000000001</v>
      </c>
      <c r="H32" s="369">
        <f>+$E32*$H$18</f>
        <v>1.1000000000000001</v>
      </c>
      <c r="I32" s="369">
        <f>IF($I$18="",0,$E32*$I$18)</f>
        <v>0.82500000000000007</v>
      </c>
      <c r="J32" s="370"/>
      <c r="K32" s="370"/>
      <c r="L32" s="371">
        <f t="shared" si="5"/>
        <v>3.3000000000000007</v>
      </c>
    </row>
    <row r="33" spans="2:12" ht="12">
      <c r="B33" s="381"/>
      <c r="C33" s="149" t="s">
        <v>185</v>
      </c>
      <c r="D33" s="147"/>
      <c r="E33" s="148"/>
      <c r="F33" s="372"/>
      <c r="G33" s="372"/>
      <c r="H33" s="372"/>
      <c r="I33" s="372"/>
      <c r="J33" s="373"/>
      <c r="K33" s="373"/>
      <c r="L33" s="374"/>
    </row>
    <row r="34" spans="2:12">
      <c r="B34" s="380" t="s">
        <v>213</v>
      </c>
      <c r="C34" s="140" t="str">
        <f>IF(RH_BOLSEIROS!$E$14="SIM",RH_BOLSEIROS!B20,"")</f>
        <v>Bolsas de Investigação (BI)- estudantes de doutoramento</v>
      </c>
      <c r="D34" s="140" t="s">
        <v>164</v>
      </c>
      <c r="E34" s="144">
        <f>IF(C34="",0%,100%)</f>
        <v>1</v>
      </c>
      <c r="F34" s="369">
        <f>11*RH_BOLSEIROS!D20/12</f>
        <v>0</v>
      </c>
      <c r="G34" s="369">
        <f>+RH_BOLSEIROS!H20*0.916666666666667</f>
        <v>11.000000000000004</v>
      </c>
      <c r="H34" s="369">
        <f>+RH_BOLSEIROS!L20*0.916666666666667</f>
        <v>11.000000000000004</v>
      </c>
      <c r="I34" s="369">
        <f>+RH_BOLSEIROS!P20*0.916666666666667</f>
        <v>5.5000000000000018</v>
      </c>
      <c r="J34" s="370">
        <f>+RH_BOLSEIROS!T20*11/12</f>
        <v>0</v>
      </c>
      <c r="K34" s="370"/>
      <c r="L34" s="375">
        <f>SUM(F34:K34)</f>
        <v>27.500000000000007</v>
      </c>
    </row>
    <row r="35" spans="2:12">
      <c r="B35" s="380" t="s">
        <v>214</v>
      </c>
      <c r="C35" s="140" t="str">
        <f>IF(RH_BOLSEIROS!$E$14="SIM",RH_BOLSEIROS!B21,"")</f>
        <v>Bolsas de Investigação (BI)- estudantes de doutoramento</v>
      </c>
      <c r="D35" s="140" t="s">
        <v>164</v>
      </c>
      <c r="E35" s="144">
        <f t="shared" ref="E35:E36" si="7">IF(C35="",0%,100%)</f>
        <v>1</v>
      </c>
      <c r="F35" s="369">
        <f>11*RH_BOLSEIROS!D21/12</f>
        <v>0</v>
      </c>
      <c r="G35" s="369">
        <f>+RH_BOLSEIROS!H21*0.916666666666667</f>
        <v>11.000000000000004</v>
      </c>
      <c r="H35" s="369">
        <f>+RH_BOLSEIROS!L21*0.916666666666667</f>
        <v>11.000000000000004</v>
      </c>
      <c r="I35" s="369">
        <f>+RH_BOLSEIROS!P21*0.916666666666667</f>
        <v>5.5000000000000018</v>
      </c>
      <c r="J35" s="370">
        <f>+RH_BOLSEIROS!T21*11/12</f>
        <v>0</v>
      </c>
      <c r="K35" s="370"/>
      <c r="L35" s="375">
        <f t="shared" ref="L35:L37" si="8">SUM(F35:K35)</f>
        <v>27.500000000000007</v>
      </c>
    </row>
    <row r="36" spans="2:12">
      <c r="B36" s="380" t="s">
        <v>215</v>
      </c>
      <c r="C36" s="140" t="str">
        <f>IF(RH_BOLSEIROS!$E$14="SIM",RH_BOLSEIROS!B22,"")</f>
        <v>Bolsas de investigação pós doutoral</v>
      </c>
      <c r="D36" s="140" t="s">
        <v>164</v>
      </c>
      <c r="E36" s="144">
        <f t="shared" si="7"/>
        <v>1</v>
      </c>
      <c r="F36" s="369">
        <f>11*RH_BOLSEIROS!D22/12</f>
        <v>0</v>
      </c>
      <c r="G36" s="369">
        <f>+RH_BOLSEIROS!H22*0.916666666666667</f>
        <v>11.000000000000004</v>
      </c>
      <c r="H36" s="369">
        <f>+RH_BOLSEIROS!L22*0.916666666666667</f>
        <v>11.000000000000004</v>
      </c>
      <c r="I36" s="369">
        <f>+RH_BOLSEIROS!P22*0.916666666666667</f>
        <v>5.5000000000000018</v>
      </c>
      <c r="J36" s="370">
        <f>+RH_BOLSEIROS!T22*11/12</f>
        <v>0</v>
      </c>
      <c r="K36" s="370"/>
      <c r="L36" s="375">
        <f t="shared" si="8"/>
        <v>27.500000000000007</v>
      </c>
    </row>
    <row r="37" spans="2:12">
      <c r="B37" s="380" t="s">
        <v>240</v>
      </c>
      <c r="C37" s="140" t="str">
        <f>IF(RH_BOLSEIROS!$E$14="SIM",RH_BOLSEIROS!B23,"")</f>
        <v>Sem bolsa</v>
      </c>
      <c r="D37" s="140" t="s">
        <v>164</v>
      </c>
      <c r="E37" s="144">
        <v>1</v>
      </c>
      <c r="F37" s="369">
        <f>11*RH_BOLSEIROS!D23/12</f>
        <v>0</v>
      </c>
      <c r="G37" s="369">
        <f>+RH_BOLSEIROS!H23*0.916666666666667</f>
        <v>0</v>
      </c>
      <c r="H37" s="369">
        <f>+RH_BOLSEIROS!L23*0.916666666666667</f>
        <v>0</v>
      </c>
      <c r="I37" s="369">
        <f>+RH_BOLSEIROS!P23*0.916666666666667</f>
        <v>0</v>
      </c>
      <c r="J37" s="370">
        <f>+RH_BOLSEIROS!T23*11/12</f>
        <v>0</v>
      </c>
      <c r="K37" s="370"/>
      <c r="L37" s="375">
        <f t="shared" si="8"/>
        <v>0</v>
      </c>
    </row>
    <row r="38" spans="2:12" ht="12">
      <c r="B38" s="381"/>
      <c r="C38" s="149" t="s">
        <v>186</v>
      </c>
      <c r="D38" s="147"/>
      <c r="E38" s="148"/>
      <c r="F38" s="372"/>
      <c r="G38" s="372"/>
      <c r="H38" s="372"/>
      <c r="I38" s="372"/>
      <c r="J38" s="373"/>
      <c r="K38" s="373"/>
      <c r="L38" s="374"/>
    </row>
    <row r="39" spans="2:12">
      <c r="B39" s="380"/>
      <c r="C39" s="140" t="str">
        <f>IF(RH_CONTRATOS!$E$14="SIM",RH_CONTRATOS!B20,"")</f>
        <v/>
      </c>
      <c r="D39" s="140" t="s">
        <v>164</v>
      </c>
      <c r="E39" s="144">
        <f>IF(C39="",0%,100%)</f>
        <v>0</v>
      </c>
      <c r="F39" s="369">
        <f>11*RH_CONTRATOS!D20/12</f>
        <v>0</v>
      </c>
      <c r="G39" s="369">
        <f>+RH_CONTRATOS!J20*0.916666666666667</f>
        <v>0</v>
      </c>
      <c r="H39" s="369">
        <f>+RH_CONTRATOS!P20*0.916666666666667</f>
        <v>0</v>
      </c>
      <c r="I39" s="369">
        <f>+RH_CONTRATOS!V20*0.916666666666667</f>
        <v>0</v>
      </c>
      <c r="J39" s="370"/>
      <c r="K39" s="370"/>
      <c r="L39" s="375">
        <f>SUM(F39:J39)</f>
        <v>0</v>
      </c>
    </row>
    <row r="40" spans="2:12">
      <c r="B40" s="380"/>
      <c r="C40" s="140" t="str">
        <f>IF(RH_CONTRATOS!$E$14="SIM",RH_CONTRATOS!B21,"")</f>
        <v/>
      </c>
      <c r="D40" s="140" t="s">
        <v>164</v>
      </c>
      <c r="E40" s="144">
        <f t="shared" ref="E40" si="9">IF(C40="",0%,100%)</f>
        <v>0</v>
      </c>
      <c r="F40" s="369">
        <f>11*RH_CONTRATOS!D21/12</f>
        <v>0</v>
      </c>
      <c r="G40" s="369">
        <f>+RH_CONTRATOS!J21*0.916666666666667</f>
        <v>0</v>
      </c>
      <c r="H40" s="369">
        <f>+RH_CONTRATOS!P21*0.916666666666667</f>
        <v>0</v>
      </c>
      <c r="I40" s="369">
        <f>+RH_CONTRATOS!V21*0.916666666666667</f>
        <v>0</v>
      </c>
      <c r="J40" s="370"/>
      <c r="K40" s="370"/>
      <c r="L40" s="375">
        <f>SUM(F40:J40)</f>
        <v>0</v>
      </c>
    </row>
    <row r="41" spans="2:12" ht="11" thickBot="1">
      <c r="B41" s="382"/>
      <c r="C41" s="145"/>
      <c r="D41" s="145"/>
      <c r="E41" s="146"/>
      <c r="F41" s="376"/>
      <c r="G41" s="376"/>
      <c r="H41" s="376"/>
      <c r="I41" s="376"/>
      <c r="J41" s="377"/>
      <c r="K41" s="377"/>
      <c r="L41" s="378"/>
    </row>
    <row r="45" spans="2:12" ht="14">
      <c r="C45" s="362"/>
    </row>
    <row r="47" spans="2:12" ht="14">
      <c r="C47" s="362"/>
    </row>
  </sheetData>
  <sheetProtection selectLockedCells="1"/>
  <protectedRanges>
    <protectedRange algorithmName="SHA-512" hashValue="+sU9aqeItPC/3WtYXJ4MaPo1xn+EFlNsJ3wbRrSXWTCGMB1lpU/BIF4jR2OxM9e+Dhvq19l4W59ipAXkg92cXQ==" saltValue="26MRZpYwOZMmfj17l0vbuA==" spinCount="100000" sqref="B16:L18" name="DAPI"/>
  </protectedRanges>
  <dataConsolidate/>
  <mergeCells count="7">
    <mergeCell ref="B14:L14"/>
    <mergeCell ref="E16:E18"/>
    <mergeCell ref="F16:L16"/>
    <mergeCell ref="L17:L18"/>
    <mergeCell ref="B16:B18"/>
    <mergeCell ref="C16:C18"/>
    <mergeCell ref="D16:D18"/>
  </mergeCells>
  <phoneticPr fontId="3" type="noConversion"/>
  <conditionalFormatting sqref="F18:K18">
    <cfRule type="cellIs" dxfId="1" priority="6" operator="notEqual">
      <formula>0</formula>
    </cfRule>
  </conditionalFormatting>
  <dataValidations count="3">
    <dataValidation allowBlank="1" showInputMessage="1" showErrorMessage="1" prompt="N.º máximo de FTEs/ ETIs imputável no ano." sqref="F18:K18"/>
    <dataValidation type="list" allowBlank="1" showInputMessage="1" showErrorMessage="1" sqref="D19:D41">
      <formula1>$W$3:$W$4</formula1>
    </dataValidation>
    <dataValidation type="list" showInputMessage="1" showErrorMessage="1" sqref="R20:R32">
      <formula1>$C$19:$C$41</formula1>
    </dataValidation>
  </dataValidations>
  <pageMargins left="0.19685039370078741" right="0.15748031496062992" top="0.25" bottom="0.39370078740157483" header="0.23622047244094491" footer="0.15748031496062992"/>
  <pageSetup paperSize="9" scale="44" fitToHeight="0" orientation="landscape" r:id="rId1"/>
  <headerFooter alignWithMargins="0">
    <oddFooter>&amp;L&amp;"-,Normal"&amp;9&amp;K01+049&amp;D/&amp;T&amp;C&amp;"-,Normal"&amp;8&amp;K01+049&amp;F/&amp;A&amp;R&amp;"-,Normal"&amp;8&amp;K01+049&amp;P/&amp;N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1:AR123"/>
  <sheetViews>
    <sheetView showGridLines="0" topLeftCell="D12" zoomScale="51" zoomScaleNormal="80" workbookViewId="0">
      <selection activeCell="AD76" sqref="AD76"/>
    </sheetView>
  </sheetViews>
  <sheetFormatPr defaultColWidth="8.7265625" defaultRowHeight="13"/>
  <cols>
    <col min="1" max="1" width="8.7265625" style="383"/>
    <col min="2" max="2" width="26" style="383" customWidth="1"/>
    <col min="3" max="3" width="28.54296875" style="383" customWidth="1"/>
    <col min="4" max="4" width="12.81640625" style="383" customWidth="1"/>
    <col min="5" max="7" width="9.1796875" style="383" bestFit="1" customWidth="1"/>
    <col min="8" max="9" width="8.81640625" style="383" bestFit="1" customWidth="1"/>
    <col min="10" max="10" width="9.1796875" style="383" bestFit="1" customWidth="1"/>
    <col min="11" max="11" width="8.26953125" style="383" bestFit="1" customWidth="1"/>
    <col min="12" max="12" width="9.453125" style="383" bestFit="1" customWidth="1"/>
    <col min="13" max="13" width="8.81640625" style="383" bestFit="1" customWidth="1"/>
    <col min="14" max="14" width="9.1796875" style="383" bestFit="1" customWidth="1"/>
    <col min="15" max="16" width="9.26953125" style="383" bestFit="1" customWidth="1"/>
    <col min="17" max="19" width="9.1796875" style="383" bestFit="1" customWidth="1"/>
    <col min="20" max="21" width="8.81640625" style="383" bestFit="1" customWidth="1"/>
    <col min="22" max="22" width="9.1796875" style="383" bestFit="1" customWidth="1"/>
    <col min="23" max="23" width="8.26953125" style="383" bestFit="1" customWidth="1"/>
    <col min="24" max="24" width="9.453125" style="383" bestFit="1" customWidth="1"/>
    <col min="25" max="25" width="8.81640625" style="383" bestFit="1" customWidth="1"/>
    <col min="26" max="26" width="9.1796875" style="383" bestFit="1" customWidth="1"/>
    <col min="27" max="28" width="9.26953125" style="383" bestFit="1" customWidth="1"/>
    <col min="29" max="31" width="9.1796875" style="383" bestFit="1" customWidth="1"/>
    <col min="32" max="33" width="8.81640625" style="383" bestFit="1" customWidth="1"/>
    <col min="34" max="34" width="9.1796875" style="383" bestFit="1" customWidth="1"/>
    <col min="35" max="35" width="8.26953125" style="383" bestFit="1" customWidth="1"/>
    <col min="36" max="36" width="9.453125" style="383" bestFit="1" customWidth="1"/>
    <col min="37" max="37" width="11.81640625" style="383" customWidth="1"/>
    <col min="38" max="38" width="9.1796875" style="383" bestFit="1" customWidth="1"/>
    <col min="39" max="40" width="9.26953125" style="383" bestFit="1" customWidth="1"/>
    <col min="41" max="41" width="7.1796875" style="383" customWidth="1"/>
    <col min="42" max="16384" width="8.7265625" style="383"/>
  </cols>
  <sheetData>
    <row r="11" spans="2:44" ht="21">
      <c r="B11" s="361" t="s">
        <v>202</v>
      </c>
    </row>
    <row r="12" spans="2:44" ht="16" thickBot="1">
      <c r="B12" s="384"/>
    </row>
    <row r="13" spans="2:44">
      <c r="B13" s="402"/>
      <c r="C13" s="402"/>
      <c r="D13" s="403">
        <f>YEAR(CRONOGRAMA!F13)</f>
        <v>2026</v>
      </c>
      <c r="E13" s="403">
        <f>YEAR(CRONOGRAMA!G13)</f>
        <v>2026</v>
      </c>
      <c r="F13" s="403">
        <f>YEAR(CRONOGRAMA!H13)</f>
        <v>2026</v>
      </c>
      <c r="G13" s="403">
        <f>YEAR(CRONOGRAMA!I13)</f>
        <v>2027</v>
      </c>
      <c r="H13" s="403">
        <f>YEAR(CRONOGRAMA!J13)</f>
        <v>2027</v>
      </c>
      <c r="I13" s="403">
        <f>YEAR(CRONOGRAMA!K13)</f>
        <v>2027</v>
      </c>
      <c r="J13" s="403">
        <f>YEAR(CRONOGRAMA!L13)</f>
        <v>2027</v>
      </c>
      <c r="K13" s="403">
        <f>YEAR(CRONOGRAMA!M13)</f>
        <v>2027</v>
      </c>
      <c r="L13" s="403">
        <f>YEAR(CRONOGRAMA!N13)</f>
        <v>2027</v>
      </c>
      <c r="M13" s="403">
        <f>YEAR(CRONOGRAMA!O13)</f>
        <v>2027</v>
      </c>
      <c r="N13" s="403">
        <f>YEAR(CRONOGRAMA!P13)</f>
        <v>2027</v>
      </c>
      <c r="O13" s="403">
        <f>YEAR(CRONOGRAMA!Q13)</f>
        <v>2027</v>
      </c>
      <c r="P13" s="403">
        <f>YEAR(CRONOGRAMA!R13)</f>
        <v>2027</v>
      </c>
      <c r="Q13" s="403">
        <f>YEAR(CRONOGRAMA!S13)</f>
        <v>2027</v>
      </c>
      <c r="R13" s="403">
        <f>YEAR(CRONOGRAMA!T13)</f>
        <v>2027</v>
      </c>
      <c r="S13" s="403">
        <f>YEAR(CRONOGRAMA!U13)</f>
        <v>2028</v>
      </c>
      <c r="T13" s="403">
        <f>YEAR(CRONOGRAMA!V13)</f>
        <v>2028</v>
      </c>
      <c r="U13" s="403">
        <f>YEAR(CRONOGRAMA!W13)</f>
        <v>2028</v>
      </c>
      <c r="V13" s="403">
        <f>YEAR(CRONOGRAMA!X13)</f>
        <v>2028</v>
      </c>
      <c r="W13" s="403">
        <f>YEAR(CRONOGRAMA!Y13)</f>
        <v>2028</v>
      </c>
      <c r="X13" s="403">
        <f>YEAR(CRONOGRAMA!Z13)</f>
        <v>2028</v>
      </c>
      <c r="Y13" s="403">
        <f>YEAR(CRONOGRAMA!AA13)</f>
        <v>2028</v>
      </c>
      <c r="Z13" s="403">
        <f>YEAR(CRONOGRAMA!AB13)</f>
        <v>2028</v>
      </c>
      <c r="AA13" s="403">
        <f>YEAR(CRONOGRAMA!AC13)</f>
        <v>2028</v>
      </c>
      <c r="AB13" s="403">
        <f>YEAR(CRONOGRAMA!AD13)</f>
        <v>2028</v>
      </c>
      <c r="AC13" s="403">
        <f>YEAR(CRONOGRAMA!AE13)</f>
        <v>2028</v>
      </c>
      <c r="AD13" s="403">
        <f>YEAR(CRONOGRAMA!AF13)</f>
        <v>2028</v>
      </c>
      <c r="AE13" s="403">
        <f>YEAR(CRONOGRAMA!AG13)</f>
        <v>2029</v>
      </c>
      <c r="AF13" s="403">
        <f>YEAR(CRONOGRAMA!AH13)</f>
        <v>2029</v>
      </c>
      <c r="AG13" s="403">
        <f>YEAR(CRONOGRAMA!AI13)</f>
        <v>2029</v>
      </c>
      <c r="AH13" s="403">
        <f>YEAR(CRONOGRAMA!AJ13)</f>
        <v>2029</v>
      </c>
      <c r="AI13" s="403">
        <f>YEAR(CRONOGRAMA!AK13)</f>
        <v>2029</v>
      </c>
      <c r="AJ13" s="403">
        <f>YEAR(CRONOGRAMA!AL13)</f>
        <v>2029</v>
      </c>
      <c r="AK13" s="403">
        <f>YEAR(CRONOGRAMA!AM13)</f>
        <v>2029</v>
      </c>
      <c r="AL13" s="403">
        <f>YEAR(CRONOGRAMA!AN13)</f>
        <v>2029</v>
      </c>
      <c r="AM13" s="403">
        <f>YEAR(CRONOGRAMA!AO13)</f>
        <v>2029</v>
      </c>
      <c r="AN13" s="750" t="s">
        <v>25</v>
      </c>
      <c r="AO13" s="750">
        <f>YEAR(RESUMO!E32)</f>
        <v>2026</v>
      </c>
      <c r="AP13" s="750">
        <f>AO13+1</f>
        <v>2027</v>
      </c>
      <c r="AQ13" s="750">
        <f t="shared" ref="AQ13:AR13" si="0">AP13+1</f>
        <v>2028</v>
      </c>
      <c r="AR13" s="750">
        <f t="shared" si="0"/>
        <v>2029</v>
      </c>
    </row>
    <row r="14" spans="2:44" ht="26.25" customHeight="1" thickBot="1">
      <c r="B14" s="404" t="s">
        <v>26</v>
      </c>
      <c r="C14" s="405" t="s">
        <v>27</v>
      </c>
      <c r="D14" s="406">
        <f>IF(RESUMO!$E$33&gt;0,1,"")</f>
        <v>1</v>
      </c>
      <c r="E14" s="406">
        <f>IF(RESUMO!$E$33&gt;0,D14+1,"")</f>
        <v>2</v>
      </c>
      <c r="F14" s="406">
        <f>IF(RESUMO!$E$33&gt;0,E14+1,"")</f>
        <v>3</v>
      </c>
      <c r="G14" s="406">
        <f>IF(RESUMO!$E$33&gt;0,F14+1,"")</f>
        <v>4</v>
      </c>
      <c r="H14" s="406">
        <f>IF(RESUMO!$E$33&gt;0,G14+1,"")</f>
        <v>5</v>
      </c>
      <c r="I14" s="406">
        <f>IF(RESUMO!$E$33&gt;0,H14+1,"")</f>
        <v>6</v>
      </c>
      <c r="J14" s="406">
        <f>IF(RESUMO!$E$33&gt;0,I14+1,"")</f>
        <v>7</v>
      </c>
      <c r="K14" s="406">
        <f>IF(RESUMO!$E$33&gt;0,J14+1,"")</f>
        <v>8</v>
      </c>
      <c r="L14" s="406">
        <f>IF(RESUMO!$E$33&gt;0,K14+1,"")</f>
        <v>9</v>
      </c>
      <c r="M14" s="406">
        <f>IF(RESUMO!$E$33&gt;0,L14+1,"")</f>
        <v>10</v>
      </c>
      <c r="N14" s="406">
        <f>IF(RESUMO!$E$33&gt;0,M14+1,"")</f>
        <v>11</v>
      </c>
      <c r="O14" s="406">
        <f>IF(RESUMO!$E$33&gt;0,N14+1,"")</f>
        <v>12</v>
      </c>
      <c r="P14" s="406">
        <f>IF(RESUMO!$E$33&gt;0,O14+1,"")</f>
        <v>13</v>
      </c>
      <c r="Q14" s="406">
        <f>IF(RESUMO!$E$33&gt;0,P14+1,"")</f>
        <v>14</v>
      </c>
      <c r="R14" s="406">
        <f>IF(RESUMO!$E$33&gt;0,Q14+1,"")</f>
        <v>15</v>
      </c>
      <c r="S14" s="406">
        <f>IF(RESUMO!$E$33&gt;0,R14+1,"")</f>
        <v>16</v>
      </c>
      <c r="T14" s="406">
        <f>IF(RESUMO!$E$33&gt;0,S14+1,"")</f>
        <v>17</v>
      </c>
      <c r="U14" s="406">
        <f>IF(RESUMO!$E$33&gt;0,T14+1,"")</f>
        <v>18</v>
      </c>
      <c r="V14" s="406">
        <f>IF(RESUMO!$E$33&gt;0,U14+1,"")</f>
        <v>19</v>
      </c>
      <c r="W14" s="406">
        <f>IF(RESUMO!$E$33&gt;0,V14+1,"")</f>
        <v>20</v>
      </c>
      <c r="X14" s="406">
        <f>IF(RESUMO!$E$33&gt;0,W14+1,"")</f>
        <v>21</v>
      </c>
      <c r="Y14" s="406">
        <f>IF(RESUMO!$E$33&gt;0,X14+1,"")</f>
        <v>22</v>
      </c>
      <c r="Z14" s="406">
        <f>IF(RESUMO!$E$33&gt;0,Y14+1,"")</f>
        <v>23</v>
      </c>
      <c r="AA14" s="406">
        <f>IF(RESUMO!$E$33&gt;0,Z14+1,"")</f>
        <v>24</v>
      </c>
      <c r="AB14" s="406">
        <f>IF(RESUMO!$E$33&gt;0,AA14+1,"")</f>
        <v>25</v>
      </c>
      <c r="AC14" s="406">
        <f>IF(RESUMO!$E$33&gt;0,AB14+1,"")</f>
        <v>26</v>
      </c>
      <c r="AD14" s="406">
        <f>IF(RESUMO!$E$33&gt;0,AC14+1,"")</f>
        <v>27</v>
      </c>
      <c r="AE14" s="406">
        <f>IF(RESUMO!$E$33&gt;0,AD14+1,"")</f>
        <v>28</v>
      </c>
      <c r="AF14" s="406">
        <f>IF(RESUMO!$E$33&gt;0,AE14+1,"")</f>
        <v>29</v>
      </c>
      <c r="AG14" s="406">
        <f>IF(RESUMO!$E$33&gt;0,AF14+1,"")</f>
        <v>30</v>
      </c>
      <c r="AH14" s="406">
        <f>IF(RESUMO!$E$33&gt;0,AG14+1,"")</f>
        <v>31</v>
      </c>
      <c r="AI14" s="406">
        <f>IF(RESUMO!$E$33&gt;0,AH14+1,"")</f>
        <v>32</v>
      </c>
      <c r="AJ14" s="406">
        <f>IF(RESUMO!$E$33&gt;0,AI14+1,"")</f>
        <v>33</v>
      </c>
      <c r="AK14" s="406">
        <f>IF(RESUMO!$E$33&gt;0,AJ14+1,"")</f>
        <v>34</v>
      </c>
      <c r="AL14" s="406">
        <f>IF(RESUMO!$E$33&gt;0,AK14+1,"")</f>
        <v>35</v>
      </c>
      <c r="AM14" s="406">
        <f>IF(RESUMO!$E$33&gt;0,AL14+1,"")</f>
        <v>36</v>
      </c>
      <c r="AN14" s="752"/>
      <c r="AO14" s="752">
        <v>2024</v>
      </c>
      <c r="AP14" s="751"/>
      <c r="AQ14" s="751"/>
      <c r="AR14" s="751"/>
    </row>
    <row r="15" spans="2:44">
      <c r="B15" s="385" t="s">
        <v>221</v>
      </c>
      <c r="C15" s="385" t="s">
        <v>16</v>
      </c>
      <c r="D15" s="533">
        <v>0.65</v>
      </c>
      <c r="E15" s="534"/>
      <c r="F15" s="534"/>
      <c r="G15" s="534"/>
      <c r="H15" s="534"/>
      <c r="I15" s="534">
        <v>0.5</v>
      </c>
      <c r="J15" s="534"/>
      <c r="K15" s="534"/>
      <c r="L15" s="534">
        <v>0.5</v>
      </c>
      <c r="M15" s="534"/>
      <c r="N15" s="534"/>
      <c r="O15" s="534"/>
      <c r="P15" s="534"/>
      <c r="Q15" s="534"/>
      <c r="R15" s="534"/>
      <c r="S15" s="534"/>
      <c r="T15" s="534"/>
      <c r="U15" s="534">
        <v>0.5</v>
      </c>
      <c r="V15" s="534"/>
      <c r="W15" s="534"/>
      <c r="X15" s="534"/>
      <c r="Y15" s="534"/>
      <c r="Z15" s="534"/>
      <c r="AA15" s="534"/>
      <c r="AB15" s="534"/>
      <c r="AC15" s="534"/>
      <c r="AD15" s="534"/>
      <c r="AE15" s="534"/>
      <c r="AF15" s="534"/>
      <c r="AG15" s="533">
        <v>0.5</v>
      </c>
      <c r="AH15" s="533"/>
      <c r="AI15" s="533"/>
      <c r="AJ15" s="533">
        <v>0.5</v>
      </c>
      <c r="AK15" s="533"/>
      <c r="AL15" s="533"/>
      <c r="AM15" s="533">
        <v>0.5</v>
      </c>
      <c r="AN15" s="535">
        <f>SUM(D15:AM15)</f>
        <v>3.65</v>
      </c>
      <c r="AO15" s="536">
        <f>SUMIF($D$13:$AM$13,$AO$13,D15:AM15)</f>
        <v>0.65</v>
      </c>
      <c r="AP15" s="536">
        <f>SUMIF($D$13:$AM$13,$AP$13,D15:AM15)</f>
        <v>1</v>
      </c>
      <c r="AQ15" s="536">
        <f>SUMIF($D$13:$AM$13,$AQ$13,D15:AM15)</f>
        <v>0.5</v>
      </c>
      <c r="AR15" s="536">
        <f>SUMIF($D$13:$AM$13,$AR$13,D15:AM15)</f>
        <v>1.5</v>
      </c>
    </row>
    <row r="16" spans="2:44">
      <c r="B16" s="385" t="s">
        <v>221</v>
      </c>
      <c r="C16" s="385" t="s">
        <v>17</v>
      </c>
      <c r="D16" s="537"/>
      <c r="E16" s="537"/>
      <c r="F16" s="537"/>
      <c r="G16" s="537">
        <v>0.5</v>
      </c>
      <c r="H16" s="537"/>
      <c r="I16" s="537"/>
      <c r="J16" s="537"/>
      <c r="K16" s="537"/>
      <c r="L16" s="537"/>
      <c r="M16" s="537"/>
      <c r="N16" s="537"/>
      <c r="O16" s="537"/>
      <c r="P16" s="537"/>
      <c r="Q16" s="537"/>
      <c r="R16" s="537"/>
      <c r="S16" s="537">
        <v>0.5</v>
      </c>
      <c r="T16" s="537"/>
      <c r="U16" s="537"/>
      <c r="V16" s="537"/>
      <c r="W16" s="537"/>
      <c r="X16" s="537"/>
      <c r="Y16" s="537"/>
      <c r="Z16" s="537">
        <v>0.3</v>
      </c>
      <c r="AA16" s="537"/>
      <c r="AB16" s="537"/>
      <c r="AC16" s="537"/>
      <c r="AD16" s="537"/>
      <c r="AE16" s="537"/>
      <c r="AF16" s="537"/>
      <c r="AG16" s="537"/>
      <c r="AH16" s="537"/>
      <c r="AI16" s="537"/>
      <c r="AJ16" s="537"/>
      <c r="AK16" s="537"/>
      <c r="AL16" s="537"/>
      <c r="AM16" s="537"/>
      <c r="AN16" s="535">
        <f t="shared" ref="AN16:AN121" si="1">SUM(D16:AM16)</f>
        <v>1.3</v>
      </c>
      <c r="AO16" s="536">
        <f t="shared" ref="AO16:AO121" si="2">SUMIF($D$13:$AM$13,$AO$13,D16:AM16)</f>
        <v>0</v>
      </c>
      <c r="AP16" s="536">
        <f t="shared" ref="AP16:AP121" si="3">SUMIF($D$13:$AM$13,$AP$13,D16:AM16)</f>
        <v>0.5</v>
      </c>
      <c r="AQ16" s="536">
        <f t="shared" ref="AQ16:AQ121" si="4">SUMIF($D$13:$AM$13,$AQ$13,D16:AM16)</f>
        <v>0.8</v>
      </c>
      <c r="AR16" s="536">
        <f t="shared" ref="AR16:AR121" si="5">SUMIF($D$13:$AM$13,$AR$13,D16:AM16)</f>
        <v>0</v>
      </c>
    </row>
    <row r="17" spans="1:44">
      <c r="A17" s="388"/>
      <c r="B17" s="385" t="s">
        <v>221</v>
      </c>
      <c r="C17" s="385" t="s">
        <v>18</v>
      </c>
      <c r="D17" s="537"/>
      <c r="E17" s="537"/>
      <c r="F17" s="537"/>
      <c r="G17" s="537"/>
      <c r="H17" s="537">
        <v>0.5</v>
      </c>
      <c r="I17" s="537"/>
      <c r="J17" s="537"/>
      <c r="K17" s="537"/>
      <c r="L17" s="537"/>
      <c r="M17" s="537"/>
      <c r="N17" s="537"/>
      <c r="O17" s="537"/>
      <c r="P17" s="537"/>
      <c r="Q17" s="537"/>
      <c r="R17" s="537"/>
      <c r="S17" s="537"/>
      <c r="T17" s="537">
        <v>0.5</v>
      </c>
      <c r="U17" s="537"/>
      <c r="V17" s="537"/>
      <c r="W17" s="537"/>
      <c r="X17" s="537"/>
      <c r="Y17" s="537"/>
      <c r="Z17" s="537"/>
      <c r="AA17" s="537">
        <v>0.5</v>
      </c>
      <c r="AB17" s="537"/>
      <c r="AC17" s="537"/>
      <c r="AD17" s="537"/>
      <c r="AE17" s="537"/>
      <c r="AF17" s="537"/>
      <c r="AG17" s="537"/>
      <c r="AH17" s="537"/>
      <c r="AI17" s="537"/>
      <c r="AJ17" s="537"/>
      <c r="AK17" s="537"/>
      <c r="AL17" s="537"/>
      <c r="AM17" s="537"/>
      <c r="AN17" s="535">
        <f>SUM(D17:AM17)</f>
        <v>1.5</v>
      </c>
      <c r="AO17" s="536">
        <f t="shared" si="2"/>
        <v>0</v>
      </c>
      <c r="AP17" s="536">
        <f>SUMIF($D$13:$AM$13,$AP$13,D17:AM17)</f>
        <v>0.5</v>
      </c>
      <c r="AQ17" s="536">
        <f t="shared" si="4"/>
        <v>1</v>
      </c>
      <c r="AR17" s="536">
        <f t="shared" si="5"/>
        <v>0</v>
      </c>
    </row>
    <row r="18" spans="1:44" ht="13.5" customHeight="1">
      <c r="B18" s="385" t="s">
        <v>221</v>
      </c>
      <c r="C18" s="387" t="s">
        <v>19</v>
      </c>
      <c r="D18" s="537"/>
      <c r="E18" s="537"/>
      <c r="F18" s="537"/>
      <c r="G18" s="537"/>
      <c r="H18" s="538"/>
      <c r="I18" s="538">
        <v>0.5</v>
      </c>
      <c r="J18" s="538"/>
      <c r="K18" s="538"/>
      <c r="L18" s="538"/>
      <c r="M18" s="538"/>
      <c r="N18" s="538">
        <v>0.5</v>
      </c>
      <c r="O18" s="538"/>
      <c r="P18" s="537"/>
      <c r="Q18" s="537"/>
      <c r="R18" s="537"/>
      <c r="S18" s="537"/>
      <c r="T18" s="537"/>
      <c r="U18" s="537"/>
      <c r="V18" s="537"/>
      <c r="W18" s="537">
        <v>0.5</v>
      </c>
      <c r="X18" s="537"/>
      <c r="Y18" s="537">
        <v>0.5</v>
      </c>
      <c r="Z18" s="537"/>
      <c r="AA18" s="537"/>
      <c r="AB18" s="537"/>
      <c r="AC18" s="537"/>
      <c r="AD18" s="537"/>
      <c r="AE18" s="537"/>
      <c r="AF18" s="537"/>
      <c r="AG18" s="537"/>
      <c r="AH18" s="537"/>
      <c r="AI18" s="537"/>
      <c r="AJ18" s="537"/>
      <c r="AK18" s="537"/>
      <c r="AL18" s="537"/>
      <c r="AM18" s="537"/>
      <c r="AN18" s="535">
        <f t="shared" si="1"/>
        <v>2</v>
      </c>
      <c r="AO18" s="536">
        <f t="shared" si="2"/>
        <v>0</v>
      </c>
      <c r="AP18" s="536">
        <f t="shared" si="3"/>
        <v>1</v>
      </c>
      <c r="AQ18" s="536">
        <f t="shared" si="4"/>
        <v>1</v>
      </c>
      <c r="AR18" s="536">
        <f t="shared" si="5"/>
        <v>0</v>
      </c>
    </row>
    <row r="19" spans="1:44">
      <c r="B19" s="385" t="s">
        <v>221</v>
      </c>
      <c r="C19" s="387" t="s">
        <v>20</v>
      </c>
      <c r="D19" s="537"/>
      <c r="E19" s="537"/>
      <c r="F19" s="537"/>
      <c r="G19" s="537"/>
      <c r="H19" s="537"/>
      <c r="I19" s="537"/>
      <c r="J19" s="539"/>
      <c r="K19" s="539"/>
      <c r="L19" s="539"/>
      <c r="M19" s="539"/>
      <c r="N19" s="539"/>
      <c r="O19" s="539"/>
      <c r="P19" s="539"/>
      <c r="Q19" s="539"/>
      <c r="R19" s="539"/>
      <c r="S19" s="539"/>
      <c r="T19" s="539"/>
      <c r="U19" s="539"/>
      <c r="V19" s="539"/>
      <c r="W19" s="539"/>
      <c r="X19" s="539"/>
      <c r="Y19" s="539"/>
      <c r="Z19" s="539">
        <v>0.5</v>
      </c>
      <c r="AA19" s="539"/>
      <c r="AB19" s="539"/>
      <c r="AC19" s="539">
        <v>0.5</v>
      </c>
      <c r="AD19" s="537"/>
      <c r="AE19" s="537"/>
      <c r="AF19" s="537">
        <v>0.5</v>
      </c>
      <c r="AG19" s="537"/>
      <c r="AH19" s="537">
        <v>0.5</v>
      </c>
      <c r="AI19" s="537"/>
      <c r="AJ19" s="537"/>
      <c r="AK19" s="537"/>
      <c r="AL19" s="537"/>
      <c r="AM19" s="537"/>
      <c r="AN19" s="535">
        <f t="shared" si="1"/>
        <v>2</v>
      </c>
      <c r="AO19" s="536">
        <f t="shared" si="2"/>
        <v>0</v>
      </c>
      <c r="AP19" s="536">
        <f t="shared" si="3"/>
        <v>0</v>
      </c>
      <c r="AQ19" s="536">
        <f t="shared" si="4"/>
        <v>1</v>
      </c>
      <c r="AR19" s="536">
        <f t="shared" si="5"/>
        <v>1</v>
      </c>
    </row>
    <row r="20" spans="1:44" ht="13.5" customHeight="1">
      <c r="B20" s="385" t="s">
        <v>221</v>
      </c>
      <c r="C20" s="387" t="s">
        <v>21</v>
      </c>
      <c r="D20" s="537"/>
      <c r="E20" s="537"/>
      <c r="F20" s="537"/>
      <c r="G20" s="537"/>
      <c r="H20" s="537"/>
      <c r="I20" s="537"/>
      <c r="J20" s="537"/>
      <c r="K20" s="537"/>
      <c r="L20" s="537"/>
      <c r="M20" s="537"/>
      <c r="N20" s="537"/>
      <c r="O20" s="537"/>
      <c r="P20" s="537"/>
      <c r="Q20" s="537"/>
      <c r="R20" s="537"/>
      <c r="S20" s="537"/>
      <c r="T20" s="537"/>
      <c r="U20" s="537"/>
      <c r="V20" s="537"/>
      <c r="W20" s="537"/>
      <c r="X20" s="537">
        <v>0.5</v>
      </c>
      <c r="Y20" s="537"/>
      <c r="Z20" s="537"/>
      <c r="AA20" s="537"/>
      <c r="AB20" s="537"/>
      <c r="AC20" s="537"/>
      <c r="AD20" s="537"/>
      <c r="AE20" s="537"/>
      <c r="AF20" s="537"/>
      <c r="AG20" s="537"/>
      <c r="AH20" s="537"/>
      <c r="AI20" s="537"/>
      <c r="AJ20" s="537"/>
      <c r="AK20" s="537">
        <v>0.6</v>
      </c>
      <c r="AL20" s="537"/>
      <c r="AM20" s="537"/>
      <c r="AN20" s="535">
        <f t="shared" si="1"/>
        <v>1.1000000000000001</v>
      </c>
      <c r="AO20" s="536">
        <f t="shared" si="2"/>
        <v>0</v>
      </c>
      <c r="AP20" s="536">
        <f t="shared" si="3"/>
        <v>0</v>
      </c>
      <c r="AQ20" s="536">
        <f t="shared" si="4"/>
        <v>0.5</v>
      </c>
      <c r="AR20" s="536">
        <f t="shared" si="5"/>
        <v>0.6</v>
      </c>
    </row>
    <row r="21" spans="1:44" ht="13.5" customHeight="1">
      <c r="B21" s="540" t="s">
        <v>224</v>
      </c>
      <c r="C21" s="540" t="s">
        <v>16</v>
      </c>
      <c r="D21" s="541"/>
      <c r="E21" s="541">
        <v>0.5</v>
      </c>
      <c r="F21" s="541"/>
      <c r="G21" s="541"/>
      <c r="H21" s="541"/>
      <c r="I21" s="541"/>
      <c r="J21" s="541"/>
      <c r="K21" s="541"/>
      <c r="L21" s="541"/>
      <c r="M21" s="541"/>
      <c r="N21" s="541"/>
      <c r="O21" s="541"/>
      <c r="P21" s="541"/>
      <c r="Q21" s="541"/>
      <c r="R21" s="541"/>
      <c r="S21" s="541"/>
      <c r="T21" s="541"/>
      <c r="U21" s="541"/>
      <c r="V21" s="541"/>
      <c r="W21" s="541"/>
      <c r="X21" s="541"/>
      <c r="Y21" s="541"/>
      <c r="Z21" s="541"/>
      <c r="AA21" s="541"/>
      <c r="AB21" s="541"/>
      <c r="AC21" s="541"/>
      <c r="AD21" s="541"/>
      <c r="AE21" s="541"/>
      <c r="AF21" s="541">
        <v>0.5</v>
      </c>
      <c r="AG21" s="541"/>
      <c r="AH21" s="541"/>
      <c r="AI21" s="541"/>
      <c r="AJ21" s="541"/>
      <c r="AK21" s="541"/>
      <c r="AL21" s="541"/>
      <c r="AM21" s="541"/>
      <c r="AN21" s="542">
        <f t="shared" si="1"/>
        <v>1</v>
      </c>
      <c r="AO21" s="543">
        <f t="shared" si="2"/>
        <v>0.5</v>
      </c>
      <c r="AP21" s="543">
        <f t="shared" si="3"/>
        <v>0</v>
      </c>
      <c r="AQ21" s="543">
        <f t="shared" si="4"/>
        <v>0</v>
      </c>
      <c r="AR21" s="543">
        <f t="shared" si="5"/>
        <v>0.5</v>
      </c>
    </row>
    <row r="22" spans="1:44">
      <c r="B22" s="540" t="s">
        <v>224</v>
      </c>
      <c r="C22" s="540" t="s">
        <v>19</v>
      </c>
      <c r="D22" s="541"/>
      <c r="E22" s="541"/>
      <c r="F22" s="541"/>
      <c r="G22" s="541">
        <v>0.5</v>
      </c>
      <c r="H22" s="541"/>
      <c r="I22" s="541"/>
      <c r="J22" s="541"/>
      <c r="K22" s="541"/>
      <c r="L22" s="541"/>
      <c r="M22" s="541"/>
      <c r="N22" s="541"/>
      <c r="O22" s="541"/>
      <c r="P22" s="541"/>
      <c r="Q22" s="541">
        <v>0.5</v>
      </c>
      <c r="R22" s="541"/>
      <c r="S22" s="541">
        <v>0.5</v>
      </c>
      <c r="T22" s="541"/>
      <c r="U22" s="541"/>
      <c r="V22" s="541"/>
      <c r="W22" s="541"/>
      <c r="X22" s="541"/>
      <c r="Y22" s="541"/>
      <c r="Z22" s="541"/>
      <c r="AA22" s="541"/>
      <c r="AB22" s="541"/>
      <c r="AC22" s="541"/>
      <c r="AD22" s="541"/>
      <c r="AE22" s="541">
        <v>0.5</v>
      </c>
      <c r="AF22" s="541"/>
      <c r="AG22" s="541"/>
      <c r="AH22" s="544"/>
      <c r="AI22" s="541"/>
      <c r="AJ22" s="544"/>
      <c r="AK22" s="541"/>
      <c r="AL22" s="541"/>
      <c r="AM22" s="541"/>
      <c r="AN22" s="542">
        <f t="shared" si="1"/>
        <v>2</v>
      </c>
      <c r="AO22" s="543">
        <f t="shared" si="2"/>
        <v>0</v>
      </c>
      <c r="AP22" s="543">
        <f t="shared" si="3"/>
        <v>1</v>
      </c>
      <c r="AQ22" s="543">
        <f t="shared" si="4"/>
        <v>0.5</v>
      </c>
      <c r="AR22" s="543">
        <f t="shared" si="5"/>
        <v>0.5</v>
      </c>
    </row>
    <row r="23" spans="1:44">
      <c r="B23" s="540" t="s">
        <v>224</v>
      </c>
      <c r="C23" s="540" t="s">
        <v>20</v>
      </c>
      <c r="D23" s="541"/>
      <c r="E23" s="541"/>
      <c r="F23" s="541"/>
      <c r="G23" s="541"/>
      <c r="H23" s="541"/>
      <c r="I23" s="541"/>
      <c r="J23" s="541"/>
      <c r="K23" s="541"/>
      <c r="L23" s="541"/>
      <c r="M23" s="541"/>
      <c r="N23" s="541"/>
      <c r="O23" s="541"/>
      <c r="P23" s="541"/>
      <c r="Q23" s="541"/>
      <c r="R23" s="541"/>
      <c r="S23" s="541"/>
      <c r="T23" s="541"/>
      <c r="U23" s="541"/>
      <c r="V23" s="541"/>
      <c r="W23" s="541"/>
      <c r="X23" s="541">
        <v>0.5</v>
      </c>
      <c r="Y23" s="541"/>
      <c r="Z23" s="541"/>
      <c r="AA23" s="541"/>
      <c r="AB23" s="541"/>
      <c r="AC23" s="541"/>
      <c r="AD23" s="541"/>
      <c r="AE23" s="541"/>
      <c r="AF23" s="541"/>
      <c r="AG23" s="541">
        <v>0.5</v>
      </c>
      <c r="AH23" s="544"/>
      <c r="AI23" s="541"/>
      <c r="AJ23" s="544"/>
      <c r="AK23" s="541"/>
      <c r="AL23" s="541"/>
      <c r="AM23" s="541"/>
      <c r="AN23" s="542">
        <f t="shared" ref="AN23:AN88" si="6">SUM(D23:AM23)</f>
        <v>1</v>
      </c>
      <c r="AO23" s="543">
        <f t="shared" ref="AO23:AO88" si="7">SUMIF($D$13:$AM$13,$AO$13,D23:AM23)</f>
        <v>0</v>
      </c>
      <c r="AP23" s="543">
        <f t="shared" ref="AP23:AP88" si="8">SUMIF($D$13:$AM$13,$AP$13,D23:AM23)</f>
        <v>0</v>
      </c>
      <c r="AQ23" s="543">
        <f t="shared" ref="AQ23:AQ88" si="9">SUMIF($D$13:$AM$13,$AQ$13,D23:AM23)</f>
        <v>0.5</v>
      </c>
      <c r="AR23" s="543">
        <f t="shared" ref="AR23:AR88" si="10">SUMIF($D$13:$AM$13,$AR$13,D23:AM23)</f>
        <v>0.5</v>
      </c>
    </row>
    <row r="24" spans="1:44">
      <c r="B24" s="540" t="s">
        <v>224</v>
      </c>
      <c r="C24" s="540" t="s">
        <v>21</v>
      </c>
      <c r="D24" s="541"/>
      <c r="E24" s="541"/>
      <c r="F24" s="541"/>
      <c r="G24" s="541"/>
      <c r="H24" s="541"/>
      <c r="I24" s="541"/>
      <c r="J24" s="541"/>
      <c r="K24" s="541"/>
      <c r="L24" s="541"/>
      <c r="M24" s="541"/>
      <c r="N24" s="541"/>
      <c r="O24" s="541"/>
      <c r="P24" s="541"/>
      <c r="Q24" s="541"/>
      <c r="R24" s="541"/>
      <c r="S24" s="541"/>
      <c r="T24" s="541"/>
      <c r="U24" s="541"/>
      <c r="V24" s="541">
        <v>0.5</v>
      </c>
      <c r="W24" s="541"/>
      <c r="X24" s="541"/>
      <c r="Y24" s="541"/>
      <c r="Z24" s="541"/>
      <c r="AA24" s="541"/>
      <c r="AB24" s="541"/>
      <c r="AC24" s="541"/>
      <c r="AD24" s="541"/>
      <c r="AE24" s="541"/>
      <c r="AF24" s="541"/>
      <c r="AG24" s="541"/>
      <c r="AH24" s="544"/>
      <c r="AI24" s="541"/>
      <c r="AJ24" s="544"/>
      <c r="AK24" s="541">
        <v>0.45</v>
      </c>
      <c r="AL24" s="541"/>
      <c r="AM24" s="541"/>
      <c r="AN24" s="542">
        <f t="shared" si="6"/>
        <v>0.95</v>
      </c>
      <c r="AO24" s="543">
        <f t="shared" si="7"/>
        <v>0</v>
      </c>
      <c r="AP24" s="543">
        <f t="shared" si="8"/>
        <v>0</v>
      </c>
      <c r="AQ24" s="543">
        <f t="shared" si="9"/>
        <v>0.5</v>
      </c>
      <c r="AR24" s="543">
        <f t="shared" si="10"/>
        <v>0.45</v>
      </c>
    </row>
    <row r="25" spans="1:44">
      <c r="B25" s="528" t="s">
        <v>222</v>
      </c>
      <c r="C25" s="528" t="s">
        <v>16</v>
      </c>
      <c r="D25" s="529"/>
      <c r="E25" s="529"/>
      <c r="F25" s="529">
        <v>0.5</v>
      </c>
      <c r="G25" s="529"/>
      <c r="H25" s="529"/>
      <c r="I25" s="529"/>
      <c r="J25" s="529"/>
      <c r="K25" s="529"/>
      <c r="L25" s="529"/>
      <c r="M25" s="529"/>
      <c r="N25" s="529"/>
      <c r="O25" s="529"/>
      <c r="P25" s="529"/>
      <c r="Q25" s="529"/>
      <c r="R25" s="529"/>
      <c r="S25" s="529"/>
      <c r="T25" s="529"/>
      <c r="U25" s="529"/>
      <c r="V25" s="529"/>
      <c r="W25" s="529">
        <v>0.5</v>
      </c>
      <c r="X25" s="529"/>
      <c r="Y25" s="529"/>
      <c r="Z25" s="529"/>
      <c r="AA25" s="529"/>
      <c r="AB25" s="529"/>
      <c r="AC25" s="529"/>
      <c r="AD25" s="529"/>
      <c r="AE25" s="529"/>
      <c r="AF25" s="529"/>
      <c r="AG25" s="529"/>
      <c r="AH25" s="530"/>
      <c r="AI25" s="529"/>
      <c r="AJ25" s="530"/>
      <c r="AK25" s="529"/>
      <c r="AL25" s="529"/>
      <c r="AM25" s="529"/>
      <c r="AN25" s="531">
        <f t="shared" si="6"/>
        <v>1</v>
      </c>
      <c r="AO25" s="532">
        <f t="shared" si="7"/>
        <v>0.5</v>
      </c>
      <c r="AP25" s="532">
        <f t="shared" si="8"/>
        <v>0</v>
      </c>
      <c r="AQ25" s="532">
        <f t="shared" si="9"/>
        <v>0.5</v>
      </c>
      <c r="AR25" s="532">
        <f t="shared" si="10"/>
        <v>0</v>
      </c>
    </row>
    <row r="26" spans="1:44">
      <c r="B26" s="528" t="s">
        <v>222</v>
      </c>
      <c r="C26" s="528" t="s">
        <v>18</v>
      </c>
      <c r="D26" s="529"/>
      <c r="E26" s="529"/>
      <c r="F26" s="529"/>
      <c r="G26" s="529">
        <v>0.5</v>
      </c>
      <c r="H26" s="529"/>
      <c r="I26" s="529"/>
      <c r="J26" s="529"/>
      <c r="K26" s="529"/>
      <c r="L26" s="529"/>
      <c r="M26" s="529"/>
      <c r="N26" s="529"/>
      <c r="O26" s="529"/>
      <c r="P26" s="529"/>
      <c r="Q26" s="529">
        <v>0.5</v>
      </c>
      <c r="R26" s="529"/>
      <c r="S26" s="529">
        <v>0.5</v>
      </c>
      <c r="T26" s="529"/>
      <c r="U26" s="529"/>
      <c r="V26" s="529"/>
      <c r="W26" s="529"/>
      <c r="X26" s="529"/>
      <c r="Y26" s="529"/>
      <c r="Z26" s="529"/>
      <c r="AA26" s="529"/>
      <c r="AB26" s="529"/>
      <c r="AC26" s="529"/>
      <c r="AD26" s="529"/>
      <c r="AE26" s="529">
        <v>0.5</v>
      </c>
      <c r="AF26" s="529"/>
      <c r="AG26" s="529"/>
      <c r="AH26" s="530"/>
      <c r="AI26" s="529"/>
      <c r="AJ26" s="530"/>
      <c r="AK26" s="529"/>
      <c r="AL26" s="529"/>
      <c r="AM26" s="529"/>
      <c r="AN26" s="531">
        <f t="shared" si="6"/>
        <v>2</v>
      </c>
      <c r="AO26" s="532">
        <f t="shared" si="7"/>
        <v>0</v>
      </c>
      <c r="AP26" s="532">
        <f t="shared" si="8"/>
        <v>1</v>
      </c>
      <c r="AQ26" s="532">
        <f t="shared" si="9"/>
        <v>0.5</v>
      </c>
      <c r="AR26" s="532">
        <f t="shared" si="10"/>
        <v>0.5</v>
      </c>
    </row>
    <row r="27" spans="1:44">
      <c r="B27" s="528" t="s">
        <v>222</v>
      </c>
      <c r="C27" s="528" t="s">
        <v>20</v>
      </c>
      <c r="D27" s="529"/>
      <c r="E27" s="529"/>
      <c r="F27" s="529"/>
      <c r="G27" s="529"/>
      <c r="H27" s="529"/>
      <c r="I27" s="529"/>
      <c r="J27" s="529"/>
      <c r="K27" s="529"/>
      <c r="L27" s="529"/>
      <c r="M27" s="529"/>
      <c r="N27" s="529"/>
      <c r="O27" s="529"/>
      <c r="P27" s="529"/>
      <c r="Q27" s="529"/>
      <c r="R27" s="529"/>
      <c r="S27" s="529"/>
      <c r="T27" s="529"/>
      <c r="U27" s="529">
        <v>0.5</v>
      </c>
      <c r="V27" s="529"/>
      <c r="W27" s="529"/>
      <c r="X27" s="529"/>
      <c r="Y27" s="529"/>
      <c r="Z27" s="529"/>
      <c r="AA27" s="529"/>
      <c r="AB27" s="529"/>
      <c r="AC27" s="529"/>
      <c r="AD27" s="529"/>
      <c r="AE27" s="529"/>
      <c r="AF27" s="529"/>
      <c r="AG27" s="529">
        <v>0.5</v>
      </c>
      <c r="AH27" s="530"/>
      <c r="AI27" s="529"/>
      <c r="AJ27" s="530"/>
      <c r="AK27" s="529"/>
      <c r="AL27" s="529"/>
      <c r="AM27" s="529"/>
      <c r="AN27" s="531">
        <f t="shared" si="6"/>
        <v>1</v>
      </c>
      <c r="AO27" s="532">
        <f t="shared" si="7"/>
        <v>0</v>
      </c>
      <c r="AP27" s="532">
        <f t="shared" si="8"/>
        <v>0</v>
      </c>
      <c r="AQ27" s="532">
        <f t="shared" si="9"/>
        <v>0.5</v>
      </c>
      <c r="AR27" s="532">
        <f t="shared" si="10"/>
        <v>0.5</v>
      </c>
    </row>
    <row r="28" spans="1:44">
      <c r="B28" s="528" t="s">
        <v>222</v>
      </c>
      <c r="C28" s="528" t="s">
        <v>21</v>
      </c>
      <c r="D28" s="529"/>
      <c r="E28" s="529"/>
      <c r="F28" s="529"/>
      <c r="G28" s="529"/>
      <c r="H28" s="529"/>
      <c r="I28" s="529"/>
      <c r="J28" s="529"/>
      <c r="K28" s="529"/>
      <c r="L28" s="529"/>
      <c r="M28" s="529"/>
      <c r="N28" s="529"/>
      <c r="O28" s="529"/>
      <c r="P28" s="529"/>
      <c r="Q28" s="529"/>
      <c r="R28" s="529"/>
      <c r="S28" s="529"/>
      <c r="T28" s="529"/>
      <c r="U28" s="529"/>
      <c r="V28" s="529">
        <v>0.5</v>
      </c>
      <c r="W28" s="529"/>
      <c r="X28" s="529"/>
      <c r="Y28" s="529"/>
      <c r="Z28" s="529"/>
      <c r="AA28" s="529"/>
      <c r="AB28" s="529"/>
      <c r="AC28" s="529"/>
      <c r="AD28" s="529"/>
      <c r="AE28" s="529"/>
      <c r="AF28" s="529"/>
      <c r="AG28" s="529"/>
      <c r="AH28" s="530"/>
      <c r="AI28" s="529"/>
      <c r="AJ28" s="530"/>
      <c r="AK28" s="529"/>
      <c r="AL28" s="529"/>
      <c r="AM28" s="529">
        <v>0.45</v>
      </c>
      <c r="AN28" s="531">
        <f t="shared" si="6"/>
        <v>0.95</v>
      </c>
      <c r="AO28" s="532">
        <f t="shared" si="7"/>
        <v>0</v>
      </c>
      <c r="AP28" s="532">
        <f t="shared" si="8"/>
        <v>0</v>
      </c>
      <c r="AQ28" s="532">
        <f t="shared" si="9"/>
        <v>0.5</v>
      </c>
      <c r="AR28" s="532">
        <f t="shared" si="10"/>
        <v>0.45</v>
      </c>
    </row>
    <row r="29" spans="1:44">
      <c r="B29" s="545" t="s">
        <v>232</v>
      </c>
      <c r="C29" s="545" t="s">
        <v>16</v>
      </c>
      <c r="D29" s="546"/>
      <c r="E29" s="546"/>
      <c r="F29" s="546"/>
      <c r="G29" s="546"/>
      <c r="H29" s="546"/>
      <c r="I29" s="546"/>
      <c r="J29" s="546"/>
      <c r="K29" s="546">
        <v>0.6</v>
      </c>
      <c r="L29" s="546"/>
      <c r="M29" s="546"/>
      <c r="N29" s="546"/>
      <c r="O29" s="546"/>
      <c r="P29" s="546"/>
      <c r="Q29" s="546"/>
      <c r="R29" s="546"/>
      <c r="S29" s="546"/>
      <c r="T29" s="546"/>
      <c r="U29" s="546"/>
      <c r="V29" s="546"/>
      <c r="W29" s="546"/>
      <c r="X29" s="546"/>
      <c r="Y29" s="546">
        <v>0.5</v>
      </c>
      <c r="Z29" s="546"/>
      <c r="AA29" s="546"/>
      <c r="AB29" s="546"/>
      <c r="AC29" s="546"/>
      <c r="AD29" s="546"/>
      <c r="AE29" s="546"/>
      <c r="AF29" s="546"/>
      <c r="AG29" s="546"/>
      <c r="AH29" s="547"/>
      <c r="AI29" s="546"/>
      <c r="AJ29" s="547"/>
      <c r="AK29" s="546"/>
      <c r="AL29" s="546"/>
      <c r="AM29" s="546"/>
      <c r="AN29" s="548">
        <f t="shared" si="6"/>
        <v>1.1000000000000001</v>
      </c>
      <c r="AO29" s="549">
        <f t="shared" si="7"/>
        <v>0</v>
      </c>
      <c r="AP29" s="549">
        <f t="shared" si="8"/>
        <v>0.6</v>
      </c>
      <c r="AQ29" s="549">
        <f t="shared" si="9"/>
        <v>0.5</v>
      </c>
      <c r="AR29" s="549">
        <f t="shared" si="10"/>
        <v>0</v>
      </c>
    </row>
    <row r="30" spans="1:44">
      <c r="B30" s="545" t="s">
        <v>232</v>
      </c>
      <c r="C30" s="545" t="s">
        <v>21</v>
      </c>
      <c r="D30" s="546"/>
      <c r="E30" s="546"/>
      <c r="F30" s="546"/>
      <c r="G30" s="546"/>
      <c r="H30" s="546"/>
      <c r="I30" s="546"/>
      <c r="J30" s="546"/>
      <c r="K30" s="546"/>
      <c r="L30" s="546"/>
      <c r="M30" s="546"/>
      <c r="N30" s="546"/>
      <c r="O30" s="546"/>
      <c r="P30" s="546"/>
      <c r="Q30" s="546"/>
      <c r="R30" s="546"/>
      <c r="S30" s="546"/>
      <c r="T30" s="546">
        <v>1</v>
      </c>
      <c r="U30" s="546"/>
      <c r="V30" s="546"/>
      <c r="W30" s="546">
        <v>1</v>
      </c>
      <c r="X30" s="546"/>
      <c r="Y30" s="546"/>
      <c r="Z30" s="546"/>
      <c r="AA30" s="546">
        <v>0.5</v>
      </c>
      <c r="AB30" s="546"/>
      <c r="AC30" s="546">
        <v>0.5</v>
      </c>
      <c r="AD30" s="546"/>
      <c r="AE30" s="546"/>
      <c r="AF30" s="546">
        <v>0.5</v>
      </c>
      <c r="AG30" s="546"/>
      <c r="AH30" s="547"/>
      <c r="AI30" s="546">
        <v>1</v>
      </c>
      <c r="AJ30" s="547"/>
      <c r="AK30" s="546">
        <v>0.5</v>
      </c>
      <c r="AL30" s="546"/>
      <c r="AM30" s="546">
        <v>0.5</v>
      </c>
      <c r="AN30" s="548">
        <f t="shared" si="6"/>
        <v>5.5</v>
      </c>
      <c r="AO30" s="549">
        <f t="shared" si="7"/>
        <v>0</v>
      </c>
      <c r="AP30" s="549">
        <f t="shared" si="8"/>
        <v>0</v>
      </c>
      <c r="AQ30" s="549">
        <f t="shared" si="9"/>
        <v>3</v>
      </c>
      <c r="AR30" s="549">
        <f t="shared" si="10"/>
        <v>2.5</v>
      </c>
    </row>
    <row r="31" spans="1:44">
      <c r="B31" s="550" t="s">
        <v>223</v>
      </c>
      <c r="C31" s="550" t="s">
        <v>17</v>
      </c>
      <c r="D31" s="551"/>
      <c r="E31" s="551"/>
      <c r="F31" s="551"/>
      <c r="G31" s="551"/>
      <c r="H31" s="551">
        <v>0.5</v>
      </c>
      <c r="I31" s="551"/>
      <c r="J31" s="551"/>
      <c r="K31" s="551"/>
      <c r="L31" s="551"/>
      <c r="M31" s="551"/>
      <c r="N31" s="551"/>
      <c r="O31" s="551"/>
      <c r="P31" s="551"/>
      <c r="Q31" s="551"/>
      <c r="R31" s="551"/>
      <c r="S31" s="551"/>
      <c r="T31" s="551">
        <v>0.5</v>
      </c>
      <c r="U31" s="551"/>
      <c r="V31" s="551"/>
      <c r="W31" s="551"/>
      <c r="X31" s="551"/>
      <c r="Y31" s="551"/>
      <c r="Z31" s="551"/>
      <c r="AA31" s="551"/>
      <c r="AB31" s="551"/>
      <c r="AC31" s="551"/>
      <c r="AD31" s="551"/>
      <c r="AE31" s="551"/>
      <c r="AF31" s="551"/>
      <c r="AG31" s="551"/>
      <c r="AH31" s="552"/>
      <c r="AI31" s="551"/>
      <c r="AJ31" s="552"/>
      <c r="AK31" s="551"/>
      <c r="AL31" s="551"/>
      <c r="AM31" s="551"/>
      <c r="AN31" s="553">
        <f t="shared" si="6"/>
        <v>1</v>
      </c>
      <c r="AO31" s="554">
        <f t="shared" si="7"/>
        <v>0</v>
      </c>
      <c r="AP31" s="554">
        <f t="shared" si="8"/>
        <v>0.5</v>
      </c>
      <c r="AQ31" s="554">
        <f t="shared" si="9"/>
        <v>0.5</v>
      </c>
      <c r="AR31" s="554">
        <f t="shared" si="10"/>
        <v>0</v>
      </c>
    </row>
    <row r="32" spans="1:44">
      <c r="B32" s="550" t="s">
        <v>223</v>
      </c>
      <c r="C32" s="550" t="s">
        <v>20</v>
      </c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1"/>
      <c r="P32" s="551"/>
      <c r="Q32" s="551"/>
      <c r="R32" s="551"/>
      <c r="S32" s="551"/>
      <c r="T32" s="551"/>
      <c r="U32" s="551"/>
      <c r="V32" s="551"/>
      <c r="W32" s="551"/>
      <c r="X32" s="551"/>
      <c r="Y32" s="551"/>
      <c r="Z32" s="551"/>
      <c r="AA32" s="551">
        <v>0.35</v>
      </c>
      <c r="AB32" s="551"/>
      <c r="AC32" s="551"/>
      <c r="AD32" s="551"/>
      <c r="AE32" s="551">
        <v>0.3</v>
      </c>
      <c r="AF32" s="551"/>
      <c r="AG32" s="551"/>
      <c r="AH32" s="552"/>
      <c r="AI32" s="551"/>
      <c r="AJ32" s="552"/>
      <c r="AK32" s="551"/>
      <c r="AL32" s="551"/>
      <c r="AM32" s="551"/>
      <c r="AN32" s="553">
        <f t="shared" si="6"/>
        <v>0.64999999999999991</v>
      </c>
      <c r="AO32" s="554">
        <f t="shared" si="7"/>
        <v>0</v>
      </c>
      <c r="AP32" s="554">
        <f t="shared" si="8"/>
        <v>0</v>
      </c>
      <c r="AQ32" s="554">
        <f t="shared" si="9"/>
        <v>0.35</v>
      </c>
      <c r="AR32" s="554">
        <f t="shared" si="10"/>
        <v>0.3</v>
      </c>
    </row>
    <row r="33" spans="2:44">
      <c r="B33" s="555" t="s">
        <v>225</v>
      </c>
      <c r="C33" s="555" t="s">
        <v>18</v>
      </c>
      <c r="D33" s="556"/>
      <c r="E33" s="556"/>
      <c r="F33" s="556"/>
      <c r="G33" s="556"/>
      <c r="H33" s="556">
        <v>0.5</v>
      </c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>
        <v>0.5</v>
      </c>
      <c r="U33" s="556"/>
      <c r="V33" s="556"/>
      <c r="W33" s="556"/>
      <c r="X33" s="556"/>
      <c r="Y33" s="556"/>
      <c r="Z33" s="556"/>
      <c r="AA33" s="556"/>
      <c r="AB33" s="556"/>
      <c r="AC33" s="556"/>
      <c r="AD33" s="556"/>
      <c r="AE33" s="556"/>
      <c r="AF33" s="556"/>
      <c r="AG33" s="556"/>
      <c r="AH33" s="557"/>
      <c r="AI33" s="556"/>
      <c r="AJ33" s="557"/>
      <c r="AK33" s="556"/>
      <c r="AL33" s="556"/>
      <c r="AM33" s="556"/>
      <c r="AN33" s="558">
        <f t="shared" si="6"/>
        <v>1</v>
      </c>
      <c r="AO33" s="559">
        <f t="shared" si="7"/>
        <v>0</v>
      </c>
      <c r="AP33" s="559">
        <f t="shared" si="8"/>
        <v>0.5</v>
      </c>
      <c r="AQ33" s="559">
        <f t="shared" si="9"/>
        <v>0.5</v>
      </c>
      <c r="AR33" s="559">
        <f t="shared" si="10"/>
        <v>0</v>
      </c>
    </row>
    <row r="34" spans="2:44">
      <c r="B34" s="555" t="s">
        <v>225</v>
      </c>
      <c r="C34" s="555" t="s">
        <v>20</v>
      </c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56"/>
      <c r="AB34" s="556"/>
      <c r="AC34" s="556"/>
      <c r="AD34" s="556"/>
      <c r="AE34" s="556"/>
      <c r="AF34" s="556">
        <v>0.65</v>
      </c>
      <c r="AG34" s="556"/>
      <c r="AH34" s="557"/>
      <c r="AI34" s="556"/>
      <c r="AJ34" s="557"/>
      <c r="AK34" s="556"/>
      <c r="AL34" s="556"/>
      <c r="AM34" s="556"/>
      <c r="AN34" s="558">
        <f t="shared" si="6"/>
        <v>0.65</v>
      </c>
      <c r="AO34" s="559">
        <f t="shared" si="7"/>
        <v>0</v>
      </c>
      <c r="AP34" s="559">
        <f t="shared" si="8"/>
        <v>0</v>
      </c>
      <c r="AQ34" s="559">
        <f t="shared" si="9"/>
        <v>0</v>
      </c>
      <c r="AR34" s="559">
        <f t="shared" si="10"/>
        <v>0.65</v>
      </c>
    </row>
    <row r="35" spans="2:44">
      <c r="B35" s="387" t="s">
        <v>226</v>
      </c>
      <c r="C35" s="387" t="s">
        <v>20</v>
      </c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386"/>
      <c r="P35" s="386"/>
      <c r="Q35" s="386"/>
      <c r="R35" s="386"/>
      <c r="S35" s="386"/>
      <c r="T35" s="386"/>
      <c r="U35" s="386"/>
      <c r="V35" s="386"/>
      <c r="W35" s="386"/>
      <c r="X35" s="386">
        <v>0.65</v>
      </c>
      <c r="Y35" s="386"/>
      <c r="Z35" s="386"/>
      <c r="AA35" s="386"/>
      <c r="AB35" s="386">
        <v>0.5</v>
      </c>
      <c r="AC35" s="386"/>
      <c r="AD35" s="386"/>
      <c r="AE35" s="386"/>
      <c r="AF35" s="386"/>
      <c r="AG35" s="386"/>
      <c r="AH35" s="390"/>
      <c r="AI35" s="386">
        <v>0.5</v>
      </c>
      <c r="AJ35" s="390"/>
      <c r="AK35" s="386"/>
      <c r="AL35" s="386"/>
      <c r="AM35" s="386"/>
      <c r="AN35" s="407">
        <f t="shared" si="6"/>
        <v>1.65</v>
      </c>
      <c r="AO35" s="408">
        <f t="shared" si="7"/>
        <v>0</v>
      </c>
      <c r="AP35" s="408">
        <f t="shared" si="8"/>
        <v>0</v>
      </c>
      <c r="AQ35" s="408">
        <f t="shared" si="9"/>
        <v>1.1499999999999999</v>
      </c>
      <c r="AR35" s="408">
        <f t="shared" si="10"/>
        <v>0.5</v>
      </c>
    </row>
    <row r="36" spans="2:44">
      <c r="B36" s="560" t="s">
        <v>227</v>
      </c>
      <c r="C36" s="560" t="s">
        <v>17</v>
      </c>
      <c r="D36" s="561"/>
      <c r="E36" s="561"/>
      <c r="F36" s="561"/>
      <c r="G36" s="561"/>
      <c r="H36" s="561"/>
      <c r="I36" s="561"/>
      <c r="J36" s="561">
        <v>0.5</v>
      </c>
      <c r="K36" s="561"/>
      <c r="L36" s="561"/>
      <c r="M36" s="561"/>
      <c r="N36" s="561"/>
      <c r="O36" s="561"/>
      <c r="P36" s="561"/>
      <c r="Q36" s="561"/>
      <c r="R36" s="561"/>
      <c r="S36" s="561"/>
      <c r="T36" s="561"/>
      <c r="U36" s="561">
        <v>0.5</v>
      </c>
      <c r="V36" s="561"/>
      <c r="W36" s="561"/>
      <c r="X36" s="561"/>
      <c r="Y36" s="561"/>
      <c r="Z36" s="561"/>
      <c r="AA36" s="561"/>
      <c r="AB36" s="561"/>
      <c r="AC36" s="561"/>
      <c r="AD36" s="561"/>
      <c r="AE36" s="561"/>
      <c r="AF36" s="561"/>
      <c r="AG36" s="561"/>
      <c r="AH36" s="562"/>
      <c r="AI36" s="561"/>
      <c r="AJ36" s="562"/>
      <c r="AK36" s="561"/>
      <c r="AL36" s="561"/>
      <c r="AM36" s="561"/>
      <c r="AN36" s="563">
        <f t="shared" si="6"/>
        <v>1</v>
      </c>
      <c r="AO36" s="564">
        <f t="shared" si="7"/>
        <v>0</v>
      </c>
      <c r="AP36" s="564">
        <f t="shared" si="8"/>
        <v>0.5</v>
      </c>
      <c r="AQ36" s="564">
        <f t="shared" si="9"/>
        <v>0.5</v>
      </c>
      <c r="AR36" s="564">
        <f t="shared" si="10"/>
        <v>0</v>
      </c>
    </row>
    <row r="37" spans="2:44">
      <c r="B37" s="560" t="s">
        <v>227</v>
      </c>
      <c r="C37" s="560" t="s">
        <v>20</v>
      </c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1"/>
      <c r="P37" s="561"/>
      <c r="Q37" s="561"/>
      <c r="R37" s="561"/>
      <c r="S37" s="561"/>
      <c r="T37" s="561"/>
      <c r="U37" s="561"/>
      <c r="V37" s="561"/>
      <c r="W37" s="561"/>
      <c r="X37" s="561"/>
      <c r="Y37" s="561"/>
      <c r="Z37" s="561"/>
      <c r="AA37" s="561"/>
      <c r="AB37" s="561"/>
      <c r="AC37" s="561">
        <v>0.65</v>
      </c>
      <c r="AD37" s="561"/>
      <c r="AE37" s="561"/>
      <c r="AF37" s="561"/>
      <c r="AG37" s="561"/>
      <c r="AH37" s="562"/>
      <c r="AI37" s="561"/>
      <c r="AJ37" s="562"/>
      <c r="AK37" s="561"/>
      <c r="AL37" s="561"/>
      <c r="AM37" s="561"/>
      <c r="AN37" s="563">
        <f t="shared" si="6"/>
        <v>0.65</v>
      </c>
      <c r="AO37" s="564">
        <f t="shared" si="7"/>
        <v>0</v>
      </c>
      <c r="AP37" s="564">
        <f t="shared" si="8"/>
        <v>0</v>
      </c>
      <c r="AQ37" s="564">
        <f t="shared" si="9"/>
        <v>0.65</v>
      </c>
      <c r="AR37" s="564">
        <f t="shared" si="10"/>
        <v>0</v>
      </c>
    </row>
    <row r="38" spans="2:44">
      <c r="B38" s="565" t="s">
        <v>228</v>
      </c>
      <c r="C38" s="565" t="s">
        <v>17</v>
      </c>
      <c r="D38" s="566"/>
      <c r="E38" s="566"/>
      <c r="F38" s="566"/>
      <c r="G38" s="566"/>
      <c r="H38" s="566"/>
      <c r="I38" s="566"/>
      <c r="J38" s="566">
        <v>0.5</v>
      </c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>
        <v>0.5</v>
      </c>
      <c r="V38" s="566"/>
      <c r="W38" s="566"/>
      <c r="X38" s="566"/>
      <c r="Y38" s="566"/>
      <c r="Z38" s="566"/>
      <c r="AA38" s="566"/>
      <c r="AB38" s="566"/>
      <c r="AC38" s="566"/>
      <c r="AD38" s="566"/>
      <c r="AE38" s="566"/>
      <c r="AF38" s="566"/>
      <c r="AG38" s="566"/>
      <c r="AH38" s="567"/>
      <c r="AI38" s="566"/>
      <c r="AJ38" s="567"/>
      <c r="AK38" s="566"/>
      <c r="AL38" s="566"/>
      <c r="AM38" s="566"/>
      <c r="AN38" s="568">
        <f t="shared" si="6"/>
        <v>1</v>
      </c>
      <c r="AO38" s="569">
        <f t="shared" si="7"/>
        <v>0</v>
      </c>
      <c r="AP38" s="569">
        <f t="shared" si="8"/>
        <v>0.5</v>
      </c>
      <c r="AQ38" s="569">
        <f t="shared" si="9"/>
        <v>0.5</v>
      </c>
      <c r="AR38" s="569">
        <f t="shared" si="10"/>
        <v>0</v>
      </c>
    </row>
    <row r="39" spans="2:44">
      <c r="B39" s="565" t="s">
        <v>228</v>
      </c>
      <c r="C39" s="565" t="s">
        <v>20</v>
      </c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6"/>
      <c r="AC39" s="566">
        <v>0.65</v>
      </c>
      <c r="AD39" s="566"/>
      <c r="AE39" s="566"/>
      <c r="AF39" s="566"/>
      <c r="AG39" s="566"/>
      <c r="AH39" s="567"/>
      <c r="AI39" s="566"/>
      <c r="AJ39" s="567"/>
      <c r="AK39" s="566"/>
      <c r="AL39" s="566"/>
      <c r="AM39" s="566"/>
      <c r="AN39" s="568">
        <f t="shared" si="6"/>
        <v>0.65</v>
      </c>
      <c r="AO39" s="569">
        <f t="shared" si="7"/>
        <v>0</v>
      </c>
      <c r="AP39" s="569">
        <f t="shared" si="8"/>
        <v>0</v>
      </c>
      <c r="AQ39" s="569">
        <f t="shared" si="9"/>
        <v>0.65</v>
      </c>
      <c r="AR39" s="569">
        <f t="shared" si="10"/>
        <v>0</v>
      </c>
    </row>
    <row r="40" spans="2:44">
      <c r="B40" s="387" t="s">
        <v>229</v>
      </c>
      <c r="C40" s="387" t="s">
        <v>20</v>
      </c>
      <c r="D40" s="386"/>
      <c r="E40" s="386"/>
      <c r="F40" s="386"/>
      <c r="G40" s="386"/>
      <c r="H40" s="386"/>
      <c r="I40" s="386"/>
      <c r="J40" s="386"/>
      <c r="K40" s="386"/>
      <c r="L40" s="386"/>
      <c r="M40" s="386"/>
      <c r="N40" s="386"/>
      <c r="O40" s="386"/>
      <c r="P40" s="386"/>
      <c r="Q40" s="386"/>
      <c r="R40" s="386"/>
      <c r="S40" s="386"/>
      <c r="T40" s="386">
        <v>0.5</v>
      </c>
      <c r="U40" s="386"/>
      <c r="V40" s="386"/>
      <c r="W40" s="386"/>
      <c r="X40" s="386">
        <v>0.65</v>
      </c>
      <c r="Y40" s="386"/>
      <c r="Z40" s="386"/>
      <c r="AA40" s="386"/>
      <c r="AB40" s="386"/>
      <c r="AC40" s="386"/>
      <c r="AD40" s="386"/>
      <c r="AE40" s="386"/>
      <c r="AF40" s="386">
        <v>0.5</v>
      </c>
      <c r="AG40" s="386"/>
      <c r="AH40" s="390"/>
      <c r="AI40" s="386"/>
      <c r="AJ40" s="390"/>
      <c r="AK40" s="386"/>
      <c r="AL40" s="386"/>
      <c r="AM40" s="386"/>
      <c r="AN40" s="407">
        <f t="shared" si="6"/>
        <v>1.65</v>
      </c>
      <c r="AO40" s="408">
        <f t="shared" si="7"/>
        <v>0</v>
      </c>
      <c r="AP40" s="408">
        <f t="shared" si="8"/>
        <v>0</v>
      </c>
      <c r="AQ40" s="408">
        <f t="shared" si="9"/>
        <v>1.1499999999999999</v>
      </c>
      <c r="AR40" s="408">
        <f t="shared" si="10"/>
        <v>0.5</v>
      </c>
    </row>
    <row r="41" spans="2:44">
      <c r="B41" s="570" t="s">
        <v>230</v>
      </c>
      <c r="C41" s="570" t="s">
        <v>17</v>
      </c>
      <c r="D41" s="571"/>
      <c r="E41" s="571"/>
      <c r="F41" s="571"/>
      <c r="G41" s="571">
        <v>0.5</v>
      </c>
      <c r="H41" s="571"/>
      <c r="I41" s="571"/>
      <c r="J41" s="571"/>
      <c r="K41" s="571"/>
      <c r="L41" s="571"/>
      <c r="M41" s="571">
        <v>0.5</v>
      </c>
      <c r="N41" s="571"/>
      <c r="O41" s="571"/>
      <c r="P41" s="571"/>
      <c r="Q41" s="571"/>
      <c r="R41" s="571"/>
      <c r="S41" s="571"/>
      <c r="T41" s="571">
        <v>0.5</v>
      </c>
      <c r="U41" s="571"/>
      <c r="V41" s="571"/>
      <c r="W41" s="571"/>
      <c r="X41" s="571"/>
      <c r="Y41" s="571"/>
      <c r="Z41" s="571"/>
      <c r="AA41" s="571"/>
      <c r="AB41" s="571"/>
      <c r="AC41" s="571"/>
      <c r="AD41" s="571">
        <v>0.5</v>
      </c>
      <c r="AE41" s="571"/>
      <c r="AF41" s="571"/>
      <c r="AG41" s="571"/>
      <c r="AH41" s="572"/>
      <c r="AI41" s="571"/>
      <c r="AJ41" s="572"/>
      <c r="AK41" s="571"/>
      <c r="AL41" s="571"/>
      <c r="AM41" s="571"/>
      <c r="AN41" s="573">
        <f t="shared" si="6"/>
        <v>2</v>
      </c>
      <c r="AO41" s="574">
        <f t="shared" si="7"/>
        <v>0</v>
      </c>
      <c r="AP41" s="574">
        <f t="shared" si="8"/>
        <v>1</v>
      </c>
      <c r="AQ41" s="574">
        <f t="shared" si="9"/>
        <v>1</v>
      </c>
      <c r="AR41" s="574">
        <f t="shared" si="10"/>
        <v>0</v>
      </c>
    </row>
    <row r="42" spans="2:44">
      <c r="B42" s="570" t="s">
        <v>230</v>
      </c>
      <c r="C42" s="570" t="s">
        <v>18</v>
      </c>
      <c r="D42" s="571"/>
      <c r="E42" s="571"/>
      <c r="F42" s="571"/>
      <c r="G42" s="571"/>
      <c r="H42" s="571">
        <v>0.5</v>
      </c>
      <c r="I42" s="571"/>
      <c r="J42" s="571"/>
      <c r="K42" s="571"/>
      <c r="L42" s="571"/>
      <c r="M42" s="571"/>
      <c r="N42" s="571"/>
      <c r="O42" s="571">
        <v>0.5</v>
      </c>
      <c r="P42" s="571"/>
      <c r="Q42" s="571"/>
      <c r="R42" s="571"/>
      <c r="S42" s="571">
        <v>0.5</v>
      </c>
      <c r="T42" s="571"/>
      <c r="U42" s="571"/>
      <c r="V42" s="571"/>
      <c r="W42" s="571"/>
      <c r="X42" s="571"/>
      <c r="Y42" s="571"/>
      <c r="Z42" s="571"/>
      <c r="AA42" s="571"/>
      <c r="AB42" s="571"/>
      <c r="AC42" s="571"/>
      <c r="AD42" s="571"/>
      <c r="AE42" s="571">
        <v>0.5</v>
      </c>
      <c r="AF42" s="571"/>
      <c r="AG42" s="571"/>
      <c r="AH42" s="572"/>
      <c r="AI42" s="571"/>
      <c r="AJ42" s="572"/>
      <c r="AK42" s="571"/>
      <c r="AL42" s="571"/>
      <c r="AM42" s="571"/>
      <c r="AN42" s="573">
        <f t="shared" si="6"/>
        <v>2</v>
      </c>
      <c r="AO42" s="574">
        <f t="shared" si="7"/>
        <v>0</v>
      </c>
      <c r="AP42" s="574">
        <f t="shared" si="8"/>
        <v>1</v>
      </c>
      <c r="AQ42" s="574">
        <f t="shared" si="9"/>
        <v>0.5</v>
      </c>
      <c r="AR42" s="574">
        <f t="shared" si="10"/>
        <v>0.5</v>
      </c>
    </row>
    <row r="43" spans="2:44">
      <c r="B43" s="570" t="s">
        <v>230</v>
      </c>
      <c r="C43" s="570" t="s">
        <v>20</v>
      </c>
      <c r="D43" s="571"/>
      <c r="E43" s="571"/>
      <c r="F43" s="571"/>
      <c r="G43" s="571"/>
      <c r="H43" s="571"/>
      <c r="I43" s="571"/>
      <c r="J43" s="571"/>
      <c r="K43" s="571"/>
      <c r="L43" s="571"/>
      <c r="M43" s="571"/>
      <c r="N43" s="571"/>
      <c r="O43" s="571"/>
      <c r="P43" s="571"/>
      <c r="Q43" s="571"/>
      <c r="R43" s="571"/>
      <c r="S43" s="571"/>
      <c r="T43" s="571"/>
      <c r="U43" s="571"/>
      <c r="V43" s="571">
        <v>0.5</v>
      </c>
      <c r="W43" s="571"/>
      <c r="X43" s="571"/>
      <c r="Y43" s="571"/>
      <c r="Z43" s="571"/>
      <c r="AA43" s="571"/>
      <c r="AB43" s="571"/>
      <c r="AC43" s="571"/>
      <c r="AD43" s="571"/>
      <c r="AE43" s="571"/>
      <c r="AF43" s="571"/>
      <c r="AG43" s="571">
        <v>0.45</v>
      </c>
      <c r="AH43" s="572"/>
      <c r="AI43" s="571"/>
      <c r="AJ43" s="572"/>
      <c r="AK43" s="571"/>
      <c r="AL43" s="571"/>
      <c r="AM43" s="571"/>
      <c r="AN43" s="573">
        <f t="shared" si="6"/>
        <v>0.95</v>
      </c>
      <c r="AO43" s="574">
        <f t="shared" si="7"/>
        <v>0</v>
      </c>
      <c r="AP43" s="574">
        <f t="shared" si="8"/>
        <v>0</v>
      </c>
      <c r="AQ43" s="574">
        <f t="shared" si="9"/>
        <v>0.5</v>
      </c>
      <c r="AR43" s="574">
        <f t="shared" si="10"/>
        <v>0.45</v>
      </c>
    </row>
    <row r="44" spans="2:44">
      <c r="B44" s="785" t="s">
        <v>241</v>
      </c>
      <c r="C44" s="785" t="s">
        <v>19</v>
      </c>
      <c r="D44" s="786"/>
      <c r="E44" s="786"/>
      <c r="F44" s="786"/>
      <c r="G44" s="786"/>
      <c r="H44" s="786"/>
      <c r="I44" s="786"/>
      <c r="J44" s="786"/>
      <c r="K44" s="786">
        <v>1</v>
      </c>
      <c r="L44" s="786"/>
      <c r="M44" s="786"/>
      <c r="N44" s="786"/>
      <c r="O44" s="786"/>
      <c r="P44" s="786"/>
      <c r="Q44" s="786"/>
      <c r="R44" s="786"/>
      <c r="S44" s="786"/>
      <c r="T44" s="786"/>
      <c r="U44" s="786"/>
      <c r="V44" s="786">
        <v>0.5</v>
      </c>
      <c r="W44" s="786"/>
      <c r="X44" s="786"/>
      <c r="Y44" s="786"/>
      <c r="Z44" s="786"/>
      <c r="AA44" s="786"/>
      <c r="AB44" s="786"/>
      <c r="AC44" s="786"/>
      <c r="AD44" s="786"/>
      <c r="AE44" s="786"/>
      <c r="AF44" s="786"/>
      <c r="AG44" s="786"/>
      <c r="AH44" s="787"/>
      <c r="AI44" s="786"/>
      <c r="AJ44" s="787"/>
      <c r="AK44" s="786"/>
      <c r="AL44" s="786"/>
      <c r="AM44" s="786"/>
      <c r="AN44" s="788">
        <f t="shared" si="6"/>
        <v>1.5</v>
      </c>
      <c r="AO44" s="789">
        <f t="shared" ref="AO44:AO46" si="11">SUMIF($D$13:$AM$13,$AO$13,D44:AM44)</f>
        <v>0</v>
      </c>
      <c r="AP44" s="789">
        <f t="shared" ref="AP44:AP46" si="12">SUMIF($D$13:$AM$13,$AP$13,D44:AM44)</f>
        <v>1</v>
      </c>
      <c r="AQ44" s="789">
        <f t="shared" ref="AQ44:AQ46" si="13">SUMIF($D$13:$AM$13,$AQ$13,D44:AM44)</f>
        <v>0.5</v>
      </c>
      <c r="AR44" s="789">
        <f t="shared" ref="AR44:AR46" si="14">SUMIF($D$13:$AM$13,$AR$13,D44:AM44)</f>
        <v>0</v>
      </c>
    </row>
    <row r="45" spans="2:44">
      <c r="B45" s="785" t="s">
        <v>241</v>
      </c>
      <c r="C45" s="785" t="s">
        <v>20</v>
      </c>
      <c r="D45" s="786"/>
      <c r="E45" s="786"/>
      <c r="F45" s="786"/>
      <c r="G45" s="786"/>
      <c r="H45" s="786"/>
      <c r="I45" s="786"/>
      <c r="J45" s="786"/>
      <c r="K45" s="786"/>
      <c r="L45" s="786"/>
      <c r="M45" s="786"/>
      <c r="N45" s="786"/>
      <c r="O45" s="786"/>
      <c r="P45" s="786"/>
      <c r="Q45" s="786"/>
      <c r="R45" s="786"/>
      <c r="S45" s="786"/>
      <c r="T45" s="786">
        <v>1</v>
      </c>
      <c r="U45" s="786"/>
      <c r="V45" s="786"/>
      <c r="W45" s="786"/>
      <c r="X45" s="786"/>
      <c r="Y45" s="786"/>
      <c r="Z45" s="786"/>
      <c r="AA45" s="786"/>
      <c r="AB45" s="786"/>
      <c r="AC45" s="786"/>
      <c r="AD45" s="786"/>
      <c r="AE45" s="786">
        <v>0.5</v>
      </c>
      <c r="AF45" s="786"/>
      <c r="AG45" s="786"/>
      <c r="AH45" s="787"/>
      <c r="AI45" s="786"/>
      <c r="AJ45" s="787"/>
      <c r="AK45" s="786"/>
      <c r="AL45" s="786"/>
      <c r="AM45" s="786"/>
      <c r="AN45" s="788">
        <f t="shared" si="6"/>
        <v>1.5</v>
      </c>
      <c r="AO45" s="789">
        <f t="shared" si="11"/>
        <v>0</v>
      </c>
      <c r="AP45" s="789">
        <f t="shared" si="12"/>
        <v>0</v>
      </c>
      <c r="AQ45" s="789">
        <f t="shared" si="13"/>
        <v>1</v>
      </c>
      <c r="AR45" s="789">
        <f t="shared" si="14"/>
        <v>0.5</v>
      </c>
    </row>
    <row r="46" spans="2:44">
      <c r="B46" s="785" t="s">
        <v>241</v>
      </c>
      <c r="C46" s="785" t="s">
        <v>21</v>
      </c>
      <c r="D46" s="786"/>
      <c r="E46" s="786"/>
      <c r="F46" s="786"/>
      <c r="G46" s="786"/>
      <c r="H46" s="786"/>
      <c r="I46" s="786"/>
      <c r="J46" s="786"/>
      <c r="K46" s="786"/>
      <c r="L46" s="786"/>
      <c r="M46" s="786"/>
      <c r="N46" s="786"/>
      <c r="O46" s="786"/>
      <c r="P46" s="786"/>
      <c r="Q46" s="786"/>
      <c r="R46" s="786"/>
      <c r="S46" s="786"/>
      <c r="T46" s="786"/>
      <c r="U46" s="786"/>
      <c r="V46" s="786"/>
      <c r="W46" s="786"/>
      <c r="X46" s="786">
        <v>1</v>
      </c>
      <c r="Y46" s="786"/>
      <c r="Z46" s="786"/>
      <c r="AA46" s="786"/>
      <c r="AB46" s="786"/>
      <c r="AC46" s="786"/>
      <c r="AD46" s="786"/>
      <c r="AE46" s="786"/>
      <c r="AF46" s="786"/>
      <c r="AG46" s="786"/>
      <c r="AH46" s="787"/>
      <c r="AI46" s="786"/>
      <c r="AJ46" s="790">
        <v>0.95</v>
      </c>
      <c r="AK46" s="786"/>
      <c r="AL46" s="786"/>
      <c r="AM46" s="786"/>
      <c r="AN46" s="788">
        <f t="shared" si="6"/>
        <v>1.95</v>
      </c>
      <c r="AO46" s="789">
        <f t="shared" si="11"/>
        <v>0</v>
      </c>
      <c r="AP46" s="789">
        <f t="shared" si="12"/>
        <v>0</v>
      </c>
      <c r="AQ46" s="789">
        <f t="shared" si="13"/>
        <v>1</v>
      </c>
      <c r="AR46" s="789">
        <f t="shared" si="14"/>
        <v>0.95</v>
      </c>
    </row>
    <row r="47" spans="2:44">
      <c r="B47" s="387" t="s">
        <v>231</v>
      </c>
      <c r="C47" s="387" t="s">
        <v>20</v>
      </c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6"/>
      <c r="P47" s="386"/>
      <c r="Q47" s="386"/>
      <c r="R47" s="386"/>
      <c r="S47" s="386"/>
      <c r="T47" s="386"/>
      <c r="U47" s="386"/>
      <c r="V47" s="386"/>
      <c r="W47" s="386"/>
      <c r="X47" s="386"/>
      <c r="Y47" s="386"/>
      <c r="Z47" s="386"/>
      <c r="AA47" s="386"/>
      <c r="AB47" s="386">
        <v>0.3</v>
      </c>
      <c r="AC47" s="386"/>
      <c r="AD47" s="386"/>
      <c r="AE47" s="386"/>
      <c r="AF47" s="386"/>
      <c r="AG47" s="386">
        <v>0.36</v>
      </c>
      <c r="AH47" s="390"/>
      <c r="AI47" s="386"/>
      <c r="AJ47" s="390"/>
      <c r="AK47" s="386"/>
      <c r="AL47" s="386"/>
      <c r="AM47" s="386"/>
      <c r="AN47" s="407">
        <f t="shared" si="6"/>
        <v>0.65999999999999992</v>
      </c>
      <c r="AO47" s="408">
        <f t="shared" si="7"/>
        <v>0</v>
      </c>
      <c r="AP47" s="408">
        <f t="shared" si="8"/>
        <v>0</v>
      </c>
      <c r="AQ47" s="408">
        <f t="shared" si="9"/>
        <v>0.3</v>
      </c>
      <c r="AR47" s="408">
        <f t="shared" si="10"/>
        <v>0.36</v>
      </c>
    </row>
    <row r="48" spans="2:44">
      <c r="B48" s="791" t="s">
        <v>242</v>
      </c>
      <c r="C48" s="791" t="s">
        <v>17</v>
      </c>
      <c r="D48" s="792"/>
      <c r="E48" s="792"/>
      <c r="F48" s="792"/>
      <c r="G48" s="792"/>
      <c r="H48" s="792"/>
      <c r="I48" s="792"/>
      <c r="J48" s="792">
        <v>1</v>
      </c>
      <c r="K48" s="792"/>
      <c r="L48" s="792"/>
      <c r="M48" s="792"/>
      <c r="N48" s="792"/>
      <c r="O48" s="792"/>
      <c r="P48" s="792"/>
      <c r="Q48" s="792"/>
      <c r="R48" s="792"/>
      <c r="S48" s="792"/>
      <c r="T48" s="792"/>
      <c r="U48" s="792">
        <v>0.5</v>
      </c>
      <c r="V48" s="792"/>
      <c r="W48" s="792"/>
      <c r="X48" s="792"/>
      <c r="Y48" s="792"/>
      <c r="Z48" s="792"/>
      <c r="AA48" s="792"/>
      <c r="AB48" s="792"/>
      <c r="AC48" s="792"/>
      <c r="AD48" s="792"/>
      <c r="AE48" s="792"/>
      <c r="AF48" s="792"/>
      <c r="AG48" s="792"/>
      <c r="AH48" s="793"/>
      <c r="AI48" s="792"/>
      <c r="AJ48" s="793"/>
      <c r="AK48" s="792"/>
      <c r="AL48" s="792"/>
      <c r="AM48" s="792"/>
      <c r="AN48" s="794">
        <f t="shared" ref="AN48:AN49" si="15">SUM(D48:AM48)</f>
        <v>1.5</v>
      </c>
      <c r="AO48" s="795">
        <f t="shared" ref="AO48:AO49" si="16">SUMIF($D$13:$AM$13,$AO$13,D48:AM48)</f>
        <v>0</v>
      </c>
      <c r="AP48" s="795">
        <f t="shared" ref="AP48:AP49" si="17">SUMIF($D$13:$AM$13,$AP$13,D48:AM48)</f>
        <v>1</v>
      </c>
      <c r="AQ48" s="795">
        <f t="shared" ref="AQ48:AQ49" si="18">SUMIF($D$13:$AM$13,$AQ$13,D48:AM48)</f>
        <v>0.5</v>
      </c>
      <c r="AR48" s="795">
        <f t="shared" ref="AR48:AR49" si="19">SUMIF($D$13:$AM$13,$AR$13,D48:AM48)</f>
        <v>0</v>
      </c>
    </row>
    <row r="49" spans="2:44">
      <c r="B49" s="791" t="s">
        <v>242</v>
      </c>
      <c r="C49" s="791" t="s">
        <v>20</v>
      </c>
      <c r="D49" s="792"/>
      <c r="E49" s="792"/>
      <c r="F49" s="792"/>
      <c r="G49" s="792"/>
      <c r="H49" s="792"/>
      <c r="I49" s="792"/>
      <c r="J49" s="792"/>
      <c r="K49" s="792"/>
      <c r="L49" s="792"/>
      <c r="M49" s="792"/>
      <c r="N49" s="792"/>
      <c r="O49" s="792"/>
      <c r="P49" s="792"/>
      <c r="Q49" s="792"/>
      <c r="R49" s="792"/>
      <c r="S49" s="792"/>
      <c r="T49" s="792"/>
      <c r="U49" s="792"/>
      <c r="V49" s="792"/>
      <c r="W49" s="792"/>
      <c r="X49" s="792"/>
      <c r="Y49" s="792"/>
      <c r="Z49" s="792"/>
      <c r="AA49" s="792"/>
      <c r="AB49" s="792"/>
      <c r="AC49" s="792">
        <v>1</v>
      </c>
      <c r="AD49" s="792"/>
      <c r="AE49" s="792"/>
      <c r="AF49" s="792"/>
      <c r="AG49" s="792">
        <v>0.8</v>
      </c>
      <c r="AH49" s="793"/>
      <c r="AI49" s="792"/>
      <c r="AJ49" s="793"/>
      <c r="AK49" s="792"/>
      <c r="AL49" s="792"/>
      <c r="AM49" s="792"/>
      <c r="AN49" s="794">
        <f t="shared" si="15"/>
        <v>1.8</v>
      </c>
      <c r="AO49" s="795">
        <f t="shared" si="16"/>
        <v>0</v>
      </c>
      <c r="AP49" s="795">
        <f t="shared" si="17"/>
        <v>0</v>
      </c>
      <c r="AQ49" s="795">
        <f t="shared" si="18"/>
        <v>1</v>
      </c>
      <c r="AR49" s="795">
        <f t="shared" si="19"/>
        <v>0.8</v>
      </c>
    </row>
    <row r="50" spans="2:44">
      <c r="B50" s="523" t="s">
        <v>213</v>
      </c>
      <c r="C50" s="523" t="s">
        <v>17</v>
      </c>
      <c r="D50" s="524"/>
      <c r="E50" s="524"/>
      <c r="F50" s="524"/>
      <c r="G50" s="524">
        <v>1</v>
      </c>
      <c r="H50" s="524"/>
      <c r="I50" s="524"/>
      <c r="J50" s="524">
        <v>1</v>
      </c>
      <c r="K50" s="524"/>
      <c r="L50" s="524"/>
      <c r="M50" s="524">
        <v>1</v>
      </c>
      <c r="N50" s="524"/>
      <c r="O50" s="524"/>
      <c r="P50" s="524">
        <v>1</v>
      </c>
      <c r="Q50" s="524"/>
      <c r="R50" s="524"/>
      <c r="S50" s="524">
        <v>1</v>
      </c>
      <c r="T50" s="524"/>
      <c r="U50" s="524"/>
      <c r="V50" s="524"/>
      <c r="W50" s="524"/>
      <c r="X50" s="524"/>
      <c r="Y50" s="524"/>
      <c r="Z50" s="524"/>
      <c r="AA50" s="524"/>
      <c r="AB50" s="524">
        <v>1</v>
      </c>
      <c r="AC50" s="524"/>
      <c r="AD50" s="524"/>
      <c r="AE50" s="524"/>
      <c r="AF50" s="524"/>
      <c r="AG50" s="524"/>
      <c r="AH50" s="525"/>
      <c r="AI50" s="524"/>
      <c r="AJ50" s="525"/>
      <c r="AK50" s="524"/>
      <c r="AL50" s="524"/>
      <c r="AM50" s="524"/>
      <c r="AN50" s="526">
        <f t="shared" si="6"/>
        <v>6</v>
      </c>
      <c r="AO50" s="527">
        <f t="shared" si="7"/>
        <v>0</v>
      </c>
      <c r="AP50" s="527">
        <f t="shared" si="8"/>
        <v>4</v>
      </c>
      <c r="AQ50" s="527">
        <f t="shared" si="9"/>
        <v>2</v>
      </c>
      <c r="AR50" s="527">
        <f t="shared" si="10"/>
        <v>0</v>
      </c>
    </row>
    <row r="51" spans="2:44">
      <c r="B51" s="523" t="s">
        <v>213</v>
      </c>
      <c r="C51" s="523" t="s">
        <v>18</v>
      </c>
      <c r="D51" s="524"/>
      <c r="E51" s="524"/>
      <c r="F51" s="524"/>
      <c r="G51" s="524"/>
      <c r="H51" s="524">
        <v>1</v>
      </c>
      <c r="I51" s="524"/>
      <c r="J51" s="524"/>
      <c r="K51" s="524">
        <v>1</v>
      </c>
      <c r="L51" s="524">
        <v>1</v>
      </c>
      <c r="M51" s="524">
        <v>1</v>
      </c>
      <c r="N51" s="524"/>
      <c r="O51" s="524"/>
      <c r="P51" s="524"/>
      <c r="Q51" s="524">
        <v>1</v>
      </c>
      <c r="R51" s="524"/>
      <c r="S51" s="524"/>
      <c r="T51" s="524">
        <v>1</v>
      </c>
      <c r="U51" s="524"/>
      <c r="V51" s="524"/>
      <c r="W51" s="524"/>
      <c r="X51" s="524"/>
      <c r="Y51" s="524"/>
      <c r="Z51" s="524"/>
      <c r="AA51" s="524">
        <v>1</v>
      </c>
      <c r="AB51" s="524"/>
      <c r="AC51" s="524">
        <v>1</v>
      </c>
      <c r="AD51" s="524"/>
      <c r="AE51" s="524"/>
      <c r="AF51" s="524"/>
      <c r="AG51" s="524"/>
      <c r="AH51" s="525"/>
      <c r="AI51" s="524"/>
      <c r="AJ51" s="525"/>
      <c r="AK51" s="524"/>
      <c r="AL51" s="524"/>
      <c r="AM51" s="524"/>
      <c r="AN51" s="526">
        <f t="shared" si="6"/>
        <v>8</v>
      </c>
      <c r="AO51" s="527">
        <f t="shared" si="7"/>
        <v>0</v>
      </c>
      <c r="AP51" s="527">
        <v>5</v>
      </c>
      <c r="AQ51" s="527">
        <v>3</v>
      </c>
      <c r="AR51" s="527">
        <f t="shared" si="10"/>
        <v>0</v>
      </c>
    </row>
    <row r="52" spans="2:44">
      <c r="B52" s="523" t="s">
        <v>213</v>
      </c>
      <c r="C52" s="523" t="s">
        <v>19</v>
      </c>
      <c r="D52" s="524"/>
      <c r="E52" s="524"/>
      <c r="F52" s="524"/>
      <c r="G52" s="524"/>
      <c r="H52" s="524"/>
      <c r="I52" s="524">
        <v>1</v>
      </c>
      <c r="J52" s="524"/>
      <c r="K52" s="524"/>
      <c r="L52" s="524">
        <v>1</v>
      </c>
      <c r="M52" s="524"/>
      <c r="N52" s="524"/>
      <c r="O52" s="524">
        <v>1</v>
      </c>
      <c r="P52" s="524"/>
      <c r="Q52" s="524"/>
      <c r="R52" s="524"/>
      <c r="S52" s="524"/>
      <c r="T52" s="524"/>
      <c r="U52" s="524"/>
      <c r="V52" s="524"/>
      <c r="W52" s="524"/>
      <c r="X52" s="524"/>
      <c r="Y52" s="524"/>
      <c r="Z52" s="524"/>
      <c r="AA52" s="524"/>
      <c r="AB52" s="524"/>
      <c r="AC52" s="524"/>
      <c r="AD52" s="524"/>
      <c r="AE52" s="524"/>
      <c r="AF52" s="524"/>
      <c r="AG52" s="524"/>
      <c r="AH52" s="525"/>
      <c r="AI52" s="524"/>
      <c r="AJ52" s="525"/>
      <c r="AK52" s="524"/>
      <c r="AL52" s="524"/>
      <c r="AM52" s="524"/>
      <c r="AN52" s="526">
        <f t="shared" si="6"/>
        <v>3</v>
      </c>
      <c r="AO52" s="527">
        <f t="shared" si="7"/>
        <v>0</v>
      </c>
      <c r="AP52" s="527">
        <v>2</v>
      </c>
      <c r="AQ52" s="527">
        <v>1</v>
      </c>
      <c r="AR52" s="527">
        <f t="shared" si="10"/>
        <v>0</v>
      </c>
    </row>
    <row r="53" spans="2:44">
      <c r="B53" s="523" t="s">
        <v>213</v>
      </c>
      <c r="C53" s="523" t="s">
        <v>20</v>
      </c>
      <c r="D53" s="524"/>
      <c r="E53" s="524"/>
      <c r="F53" s="524"/>
      <c r="G53" s="524"/>
      <c r="H53" s="524"/>
      <c r="I53" s="524"/>
      <c r="J53" s="524"/>
      <c r="K53" s="524"/>
      <c r="L53" s="524"/>
      <c r="M53" s="524"/>
      <c r="N53" s="524"/>
      <c r="O53" s="524"/>
      <c r="P53" s="524"/>
      <c r="Q53" s="524"/>
      <c r="R53" s="524"/>
      <c r="S53" s="524"/>
      <c r="T53" s="524"/>
      <c r="U53" s="524"/>
      <c r="V53" s="524">
        <v>0.5</v>
      </c>
      <c r="W53" s="524">
        <v>1</v>
      </c>
      <c r="X53" s="524">
        <v>0.5</v>
      </c>
      <c r="Y53" s="524">
        <v>0.5</v>
      </c>
      <c r="Z53" s="524"/>
      <c r="AA53" s="524"/>
      <c r="AB53" s="524"/>
      <c r="AC53" s="524"/>
      <c r="AD53" s="524"/>
      <c r="AE53" s="524">
        <v>1</v>
      </c>
      <c r="AF53" s="524"/>
      <c r="AG53" s="524">
        <v>1</v>
      </c>
      <c r="AH53" s="525">
        <v>1</v>
      </c>
      <c r="AI53" s="524"/>
      <c r="AJ53" s="525"/>
      <c r="AK53" s="524"/>
      <c r="AL53" s="524"/>
      <c r="AM53" s="524"/>
      <c r="AN53" s="526">
        <f t="shared" si="6"/>
        <v>5.5</v>
      </c>
      <c r="AO53" s="527">
        <f t="shared" si="7"/>
        <v>0</v>
      </c>
      <c r="AP53" s="527">
        <f t="shared" si="8"/>
        <v>0</v>
      </c>
      <c r="AQ53" s="527">
        <f t="shared" si="9"/>
        <v>2.5</v>
      </c>
      <c r="AR53" s="527">
        <f t="shared" si="10"/>
        <v>3</v>
      </c>
    </row>
    <row r="54" spans="2:44">
      <c r="B54" s="523" t="s">
        <v>213</v>
      </c>
      <c r="C54" s="523" t="s">
        <v>21</v>
      </c>
      <c r="D54" s="524"/>
      <c r="E54" s="524"/>
      <c r="F54" s="524"/>
      <c r="G54" s="524"/>
      <c r="H54" s="524"/>
      <c r="I54" s="524"/>
      <c r="J54" s="524"/>
      <c r="K54" s="524"/>
      <c r="L54" s="524"/>
      <c r="M54" s="524"/>
      <c r="N54" s="524"/>
      <c r="O54" s="524"/>
      <c r="P54" s="524"/>
      <c r="Q54" s="524"/>
      <c r="R54" s="524"/>
      <c r="S54" s="524"/>
      <c r="T54" s="524"/>
      <c r="U54" s="524"/>
      <c r="V54" s="524">
        <v>0.5</v>
      </c>
      <c r="W54" s="524"/>
      <c r="X54" s="524">
        <v>0.5</v>
      </c>
      <c r="Y54" s="524">
        <v>0.5</v>
      </c>
      <c r="Z54" s="524"/>
      <c r="AA54" s="524">
        <v>1</v>
      </c>
      <c r="AB54" s="524"/>
      <c r="AC54" s="524"/>
      <c r="AD54" s="524"/>
      <c r="AE54" s="524"/>
      <c r="AF54" s="524">
        <v>1</v>
      </c>
      <c r="AG54" s="524"/>
      <c r="AH54" s="525"/>
      <c r="AI54" s="524">
        <v>1</v>
      </c>
      <c r="AJ54" s="525">
        <v>0.5</v>
      </c>
      <c r="AK54" s="524"/>
      <c r="AL54" s="524"/>
      <c r="AM54" s="524"/>
      <c r="AN54" s="526">
        <f t="shared" si="6"/>
        <v>5</v>
      </c>
      <c r="AO54" s="527">
        <f t="shared" si="7"/>
        <v>0</v>
      </c>
      <c r="AP54" s="527">
        <f t="shared" si="8"/>
        <v>0</v>
      </c>
      <c r="AQ54" s="527">
        <f t="shared" si="9"/>
        <v>2.5</v>
      </c>
      <c r="AR54" s="527">
        <f t="shared" si="10"/>
        <v>2.5</v>
      </c>
    </row>
    <row r="55" spans="2:44">
      <c r="B55" s="575" t="s">
        <v>214</v>
      </c>
      <c r="C55" s="575" t="s">
        <v>17</v>
      </c>
      <c r="D55" s="576"/>
      <c r="E55" s="576"/>
      <c r="F55" s="576"/>
      <c r="G55" s="576">
        <v>1</v>
      </c>
      <c r="H55" s="576"/>
      <c r="I55" s="576"/>
      <c r="J55" s="576">
        <v>1</v>
      </c>
      <c r="K55" s="576"/>
      <c r="L55" s="576"/>
      <c r="M55" s="576"/>
      <c r="N55" s="576"/>
      <c r="O55" s="576"/>
      <c r="P55" s="576">
        <v>1</v>
      </c>
      <c r="Q55" s="576"/>
      <c r="R55" s="576"/>
      <c r="S55" s="576">
        <v>1</v>
      </c>
      <c r="T55" s="576"/>
      <c r="U55" s="576"/>
      <c r="V55" s="576"/>
      <c r="W55" s="576">
        <v>1</v>
      </c>
      <c r="X55" s="576"/>
      <c r="Y55" s="576"/>
      <c r="Z55" s="576"/>
      <c r="AA55" s="576">
        <v>1</v>
      </c>
      <c r="AB55" s="576"/>
      <c r="AC55" s="576"/>
      <c r="AD55" s="576"/>
      <c r="AE55" s="576"/>
      <c r="AF55" s="576"/>
      <c r="AG55" s="576"/>
      <c r="AH55" s="577"/>
      <c r="AI55" s="576"/>
      <c r="AJ55" s="577"/>
      <c r="AK55" s="576"/>
      <c r="AL55" s="576"/>
      <c r="AM55" s="576"/>
      <c r="AN55" s="578">
        <f t="shared" si="6"/>
        <v>6</v>
      </c>
      <c r="AO55" s="579">
        <f t="shared" si="7"/>
        <v>0</v>
      </c>
      <c r="AP55" s="579">
        <v>3</v>
      </c>
      <c r="AQ55" s="579">
        <f t="shared" si="9"/>
        <v>3</v>
      </c>
      <c r="AR55" s="579">
        <f t="shared" si="10"/>
        <v>0</v>
      </c>
    </row>
    <row r="56" spans="2:44">
      <c r="B56" s="575" t="s">
        <v>214</v>
      </c>
      <c r="C56" s="575" t="s">
        <v>18</v>
      </c>
      <c r="D56" s="576"/>
      <c r="E56" s="576"/>
      <c r="F56" s="576"/>
      <c r="G56" s="576"/>
      <c r="H56" s="576">
        <v>1</v>
      </c>
      <c r="I56" s="576"/>
      <c r="J56" s="576"/>
      <c r="K56" s="576">
        <v>1</v>
      </c>
      <c r="L56" s="576"/>
      <c r="M56" s="576"/>
      <c r="N56" s="576"/>
      <c r="O56" s="576"/>
      <c r="P56" s="576"/>
      <c r="Q56" s="576">
        <v>1</v>
      </c>
      <c r="R56" s="576"/>
      <c r="S56" s="576"/>
      <c r="T56" s="576">
        <v>1</v>
      </c>
      <c r="U56" s="576"/>
      <c r="V56" s="576"/>
      <c r="W56" s="576">
        <v>0.5</v>
      </c>
      <c r="X56" s="576"/>
      <c r="Y56" s="576"/>
      <c r="Z56" s="576"/>
      <c r="AA56" s="576"/>
      <c r="AB56" s="576">
        <v>0.5</v>
      </c>
      <c r="AC56" s="576">
        <v>1</v>
      </c>
      <c r="AD56" s="576"/>
      <c r="AE56" s="576"/>
      <c r="AF56" s="576"/>
      <c r="AG56" s="576"/>
      <c r="AH56" s="577"/>
      <c r="AI56" s="576"/>
      <c r="AJ56" s="577"/>
      <c r="AK56" s="576"/>
      <c r="AL56" s="576"/>
      <c r="AM56" s="576"/>
      <c r="AN56" s="578">
        <f t="shared" si="6"/>
        <v>6</v>
      </c>
      <c r="AO56" s="579">
        <f t="shared" si="7"/>
        <v>0</v>
      </c>
      <c r="AP56" s="579">
        <v>4</v>
      </c>
      <c r="AQ56" s="579">
        <v>2</v>
      </c>
      <c r="AR56" s="579">
        <f t="shared" si="10"/>
        <v>0</v>
      </c>
    </row>
    <row r="57" spans="2:44">
      <c r="B57" s="575" t="s">
        <v>214</v>
      </c>
      <c r="C57" s="575" t="s">
        <v>19</v>
      </c>
      <c r="D57" s="576"/>
      <c r="E57" s="576"/>
      <c r="F57" s="576"/>
      <c r="G57" s="576"/>
      <c r="H57" s="576"/>
      <c r="I57" s="576">
        <v>1</v>
      </c>
      <c r="J57" s="576"/>
      <c r="K57" s="576"/>
      <c r="L57" s="576">
        <v>1</v>
      </c>
      <c r="M57" s="576">
        <v>1</v>
      </c>
      <c r="N57" s="576"/>
      <c r="O57" s="576"/>
      <c r="P57" s="576"/>
      <c r="Q57" s="576"/>
      <c r="R57" s="576"/>
      <c r="S57" s="576"/>
      <c r="T57" s="576"/>
      <c r="U57" s="576"/>
      <c r="V57" s="576"/>
      <c r="W57" s="576"/>
      <c r="X57" s="576"/>
      <c r="Y57" s="576"/>
      <c r="Z57" s="576"/>
      <c r="AA57" s="576"/>
      <c r="AB57" s="576"/>
      <c r="AC57" s="576"/>
      <c r="AD57" s="576"/>
      <c r="AE57" s="576"/>
      <c r="AF57" s="576"/>
      <c r="AG57" s="576"/>
      <c r="AH57" s="577"/>
      <c r="AI57" s="576"/>
      <c r="AJ57" s="577"/>
      <c r="AK57" s="576"/>
      <c r="AL57" s="576"/>
      <c r="AM57" s="576"/>
      <c r="AN57" s="578">
        <f t="shared" si="6"/>
        <v>3</v>
      </c>
      <c r="AO57" s="579">
        <f t="shared" si="7"/>
        <v>0</v>
      </c>
      <c r="AP57" s="579">
        <v>2</v>
      </c>
      <c r="AQ57" s="579">
        <v>1</v>
      </c>
      <c r="AR57" s="579">
        <f t="shared" si="10"/>
        <v>0</v>
      </c>
    </row>
    <row r="58" spans="2:44">
      <c r="B58" s="575" t="s">
        <v>214</v>
      </c>
      <c r="C58" s="575" t="s">
        <v>20</v>
      </c>
      <c r="D58" s="576"/>
      <c r="E58" s="576"/>
      <c r="F58" s="576"/>
      <c r="G58" s="576"/>
      <c r="H58" s="576"/>
      <c r="I58" s="576"/>
      <c r="J58" s="576"/>
      <c r="K58" s="576"/>
      <c r="L58" s="576"/>
      <c r="M58" s="576"/>
      <c r="N58" s="576"/>
      <c r="O58" s="576"/>
      <c r="P58" s="576"/>
      <c r="Q58" s="576"/>
      <c r="R58" s="576"/>
      <c r="S58" s="576"/>
      <c r="T58" s="576"/>
      <c r="U58" s="576"/>
      <c r="V58" s="576">
        <v>0.5</v>
      </c>
      <c r="W58" s="576">
        <v>0.5</v>
      </c>
      <c r="X58" s="576">
        <v>0.5</v>
      </c>
      <c r="Y58" s="576">
        <v>0.5</v>
      </c>
      <c r="Z58" s="576"/>
      <c r="AA58" s="576">
        <v>0.5</v>
      </c>
      <c r="AB58" s="576">
        <v>0.5</v>
      </c>
      <c r="AC58" s="576">
        <v>0.5</v>
      </c>
      <c r="AD58" s="576">
        <v>1</v>
      </c>
      <c r="AE58" s="576">
        <v>0.5</v>
      </c>
      <c r="AF58" s="576">
        <v>0.5</v>
      </c>
      <c r="AG58" s="576">
        <v>0.5</v>
      </c>
      <c r="AH58" s="577">
        <v>0.5</v>
      </c>
      <c r="AI58" s="576">
        <v>0.5</v>
      </c>
      <c r="AJ58" s="577"/>
      <c r="AK58" s="576"/>
      <c r="AL58" s="576"/>
      <c r="AM58" s="576"/>
      <c r="AN58" s="578">
        <f t="shared" si="6"/>
        <v>7</v>
      </c>
      <c r="AO58" s="579">
        <f t="shared" si="7"/>
        <v>0</v>
      </c>
      <c r="AP58" s="579">
        <f t="shared" si="8"/>
        <v>0</v>
      </c>
      <c r="AQ58" s="579">
        <f t="shared" si="9"/>
        <v>4.5</v>
      </c>
      <c r="AR58" s="579">
        <f t="shared" si="10"/>
        <v>2.5</v>
      </c>
    </row>
    <row r="59" spans="2:44">
      <c r="B59" s="575" t="s">
        <v>214</v>
      </c>
      <c r="C59" s="575" t="s">
        <v>21</v>
      </c>
      <c r="D59" s="576"/>
      <c r="E59" s="576"/>
      <c r="F59" s="576"/>
      <c r="G59" s="576"/>
      <c r="H59" s="576"/>
      <c r="I59" s="576"/>
      <c r="J59" s="576"/>
      <c r="K59" s="576"/>
      <c r="L59" s="576"/>
      <c r="M59" s="576"/>
      <c r="N59" s="576"/>
      <c r="O59" s="576"/>
      <c r="P59" s="576"/>
      <c r="Q59" s="576"/>
      <c r="R59" s="576"/>
      <c r="S59" s="576"/>
      <c r="T59" s="576"/>
      <c r="U59" s="576"/>
      <c r="V59" s="576">
        <v>0.5</v>
      </c>
      <c r="W59" s="576">
        <v>0.5</v>
      </c>
      <c r="X59" s="576">
        <v>0.5</v>
      </c>
      <c r="Y59" s="576">
        <v>0.5</v>
      </c>
      <c r="Z59" s="576"/>
      <c r="AA59" s="576">
        <v>0.5</v>
      </c>
      <c r="AB59" s="576"/>
      <c r="AC59" s="576"/>
      <c r="AD59" s="576"/>
      <c r="AE59" s="576">
        <v>0.5</v>
      </c>
      <c r="AF59" s="576">
        <v>0.5</v>
      </c>
      <c r="AG59" s="576">
        <v>0.5</v>
      </c>
      <c r="AH59" s="577">
        <v>0.5</v>
      </c>
      <c r="AI59" s="576">
        <v>0.5</v>
      </c>
      <c r="AJ59" s="577">
        <v>0.5</v>
      </c>
      <c r="AK59" s="576"/>
      <c r="AL59" s="576"/>
      <c r="AM59" s="576"/>
      <c r="AN59" s="578">
        <f t="shared" si="6"/>
        <v>5.5</v>
      </c>
      <c r="AO59" s="579">
        <f t="shared" si="7"/>
        <v>0</v>
      </c>
      <c r="AP59" s="579">
        <f t="shared" si="8"/>
        <v>0</v>
      </c>
      <c r="AQ59" s="579">
        <f t="shared" si="9"/>
        <v>2.5</v>
      </c>
      <c r="AR59" s="579">
        <f t="shared" si="10"/>
        <v>3</v>
      </c>
    </row>
    <row r="60" spans="2:44">
      <c r="B60" s="570" t="s">
        <v>215</v>
      </c>
      <c r="C60" s="570" t="s">
        <v>17</v>
      </c>
      <c r="D60" s="571"/>
      <c r="E60" s="571"/>
      <c r="F60" s="571"/>
      <c r="G60" s="571">
        <v>1</v>
      </c>
      <c r="H60" s="571"/>
      <c r="I60" s="571"/>
      <c r="J60" s="571">
        <v>1</v>
      </c>
      <c r="K60" s="571"/>
      <c r="L60" s="571"/>
      <c r="M60" s="571"/>
      <c r="N60" s="571"/>
      <c r="O60" s="571"/>
      <c r="P60" s="571">
        <v>1</v>
      </c>
      <c r="Q60" s="571"/>
      <c r="R60" s="571"/>
      <c r="S60" s="571">
        <v>1</v>
      </c>
      <c r="T60" s="571"/>
      <c r="U60" s="571"/>
      <c r="V60" s="571">
        <v>1</v>
      </c>
      <c r="W60" s="571"/>
      <c r="X60" s="571">
        <v>1</v>
      </c>
      <c r="Y60" s="571">
        <v>1</v>
      </c>
      <c r="Z60" s="571"/>
      <c r="AA60" s="571"/>
      <c r="AB60" s="571"/>
      <c r="AC60" s="571"/>
      <c r="AD60" s="571"/>
      <c r="AE60" s="571"/>
      <c r="AF60" s="571"/>
      <c r="AG60" s="571"/>
      <c r="AH60" s="572"/>
      <c r="AI60" s="571"/>
      <c r="AJ60" s="572"/>
      <c r="AK60" s="571"/>
      <c r="AL60" s="571"/>
      <c r="AM60" s="571"/>
      <c r="AN60" s="573">
        <f t="shared" ref="AN60:AN64" si="20">SUM(D60:AM60)</f>
        <v>7</v>
      </c>
      <c r="AO60" s="574">
        <f t="shared" ref="AO60:AO64" si="21">SUMIF($D$13:$AM$13,$AO$13,D60:AM60)</f>
        <v>0</v>
      </c>
      <c r="AP60" s="574">
        <f t="shared" ref="AP60:AP64" si="22">SUMIF($D$13:$AM$13,$AP$13,D60:AM60)</f>
        <v>3</v>
      </c>
      <c r="AQ60" s="574">
        <v>4</v>
      </c>
      <c r="AR60" s="574">
        <f t="shared" ref="AR60:AR64" si="23">SUMIF($D$13:$AM$13,$AR$13,D60:AM60)</f>
        <v>0</v>
      </c>
    </row>
    <row r="61" spans="2:44">
      <c r="B61" s="570" t="s">
        <v>215</v>
      </c>
      <c r="C61" s="570" t="s">
        <v>18</v>
      </c>
      <c r="D61" s="571"/>
      <c r="E61" s="571"/>
      <c r="F61" s="571"/>
      <c r="G61" s="571"/>
      <c r="H61" s="571">
        <v>1</v>
      </c>
      <c r="I61" s="571"/>
      <c r="J61" s="571"/>
      <c r="K61" s="571">
        <v>1</v>
      </c>
      <c r="L61" s="571"/>
      <c r="M61" s="571"/>
      <c r="N61" s="571"/>
      <c r="O61" s="571"/>
      <c r="P61" s="571"/>
      <c r="Q61" s="571">
        <v>1</v>
      </c>
      <c r="R61" s="571"/>
      <c r="S61" s="571"/>
      <c r="T61" s="571">
        <v>1</v>
      </c>
      <c r="U61" s="571"/>
      <c r="V61" s="571"/>
      <c r="W61" s="571"/>
      <c r="X61" s="571"/>
      <c r="Y61" s="571"/>
      <c r="Z61" s="571"/>
      <c r="AA61" s="571">
        <v>1</v>
      </c>
      <c r="AB61" s="571">
        <v>1</v>
      </c>
      <c r="AC61" s="571"/>
      <c r="AD61" s="571"/>
      <c r="AE61" s="571"/>
      <c r="AF61" s="571"/>
      <c r="AG61" s="571"/>
      <c r="AH61" s="572"/>
      <c r="AI61" s="571"/>
      <c r="AJ61" s="572"/>
      <c r="AK61" s="571"/>
      <c r="AL61" s="571"/>
      <c r="AM61" s="571"/>
      <c r="AN61" s="573">
        <f t="shared" si="20"/>
        <v>6</v>
      </c>
      <c r="AO61" s="574">
        <f t="shared" si="21"/>
        <v>0</v>
      </c>
      <c r="AP61" s="574">
        <f t="shared" si="22"/>
        <v>3</v>
      </c>
      <c r="AQ61" s="574">
        <v>3</v>
      </c>
      <c r="AR61" s="574">
        <f t="shared" si="23"/>
        <v>0</v>
      </c>
    </row>
    <row r="62" spans="2:44">
      <c r="B62" s="570" t="s">
        <v>215</v>
      </c>
      <c r="C62" s="570" t="s">
        <v>19</v>
      </c>
      <c r="D62" s="571"/>
      <c r="E62" s="571"/>
      <c r="F62" s="571"/>
      <c r="G62" s="571"/>
      <c r="H62" s="571"/>
      <c r="I62" s="571">
        <v>1</v>
      </c>
      <c r="J62" s="571"/>
      <c r="K62" s="571"/>
      <c r="L62" s="571">
        <v>1</v>
      </c>
      <c r="M62" s="571"/>
      <c r="N62" s="571"/>
      <c r="O62" s="571"/>
      <c r="P62" s="571"/>
      <c r="Q62" s="571"/>
      <c r="R62" s="571"/>
      <c r="S62" s="571"/>
      <c r="T62" s="571"/>
      <c r="U62" s="571"/>
      <c r="V62" s="571"/>
      <c r="W62" s="571"/>
      <c r="X62" s="571"/>
      <c r="Y62" s="571"/>
      <c r="Z62" s="571"/>
      <c r="AA62" s="571"/>
      <c r="AB62" s="571"/>
      <c r="AC62" s="571"/>
      <c r="AD62" s="571"/>
      <c r="AE62" s="571"/>
      <c r="AF62" s="571"/>
      <c r="AG62" s="571"/>
      <c r="AH62" s="572"/>
      <c r="AI62" s="571"/>
      <c r="AJ62" s="572"/>
      <c r="AK62" s="571"/>
      <c r="AL62" s="571"/>
      <c r="AM62" s="571"/>
      <c r="AN62" s="573">
        <f t="shared" si="20"/>
        <v>2</v>
      </c>
      <c r="AO62" s="574">
        <f t="shared" si="21"/>
        <v>0</v>
      </c>
      <c r="AP62" s="574">
        <v>1</v>
      </c>
      <c r="AQ62" s="574">
        <v>1</v>
      </c>
      <c r="AR62" s="574">
        <f t="shared" si="23"/>
        <v>0</v>
      </c>
    </row>
    <row r="63" spans="2:44">
      <c r="B63" s="570" t="s">
        <v>215</v>
      </c>
      <c r="C63" s="570" t="s">
        <v>20</v>
      </c>
      <c r="D63" s="571"/>
      <c r="E63" s="571"/>
      <c r="F63" s="571"/>
      <c r="G63" s="571"/>
      <c r="H63" s="571"/>
      <c r="I63" s="571"/>
      <c r="J63" s="571"/>
      <c r="K63" s="571"/>
      <c r="L63" s="571"/>
      <c r="M63" s="571"/>
      <c r="N63" s="571"/>
      <c r="O63" s="571"/>
      <c r="P63" s="571"/>
      <c r="Q63" s="571"/>
      <c r="R63" s="571"/>
      <c r="S63" s="571"/>
      <c r="T63" s="571"/>
      <c r="U63" s="571"/>
      <c r="V63" s="571">
        <v>0.5</v>
      </c>
      <c r="W63" s="571">
        <v>0.5</v>
      </c>
      <c r="X63" s="571">
        <v>0.5</v>
      </c>
      <c r="Y63" s="571">
        <v>0.5</v>
      </c>
      <c r="Z63" s="571"/>
      <c r="AA63" s="571">
        <v>0.5</v>
      </c>
      <c r="AB63" s="571">
        <v>0.5</v>
      </c>
      <c r="AC63" s="571">
        <v>0.5</v>
      </c>
      <c r="AD63" s="571">
        <v>1</v>
      </c>
      <c r="AE63" s="571">
        <v>0.5</v>
      </c>
      <c r="AF63" s="571">
        <v>0.5</v>
      </c>
      <c r="AG63" s="571">
        <v>0.5</v>
      </c>
      <c r="AH63" s="572">
        <v>0.5</v>
      </c>
      <c r="AI63" s="571">
        <v>0.5</v>
      </c>
      <c r="AJ63" s="572"/>
      <c r="AK63" s="571"/>
      <c r="AL63" s="571"/>
      <c r="AM63" s="571"/>
      <c r="AN63" s="573">
        <f t="shared" si="20"/>
        <v>7</v>
      </c>
      <c r="AO63" s="574">
        <f t="shared" si="21"/>
        <v>0</v>
      </c>
      <c r="AP63" s="574">
        <f t="shared" si="22"/>
        <v>0</v>
      </c>
      <c r="AQ63" s="574">
        <f t="shared" ref="AQ60:AQ64" si="24">SUMIF($D$13:$AM$13,$AQ$13,D63:AM63)</f>
        <v>4.5</v>
      </c>
      <c r="AR63" s="574">
        <f t="shared" si="23"/>
        <v>2.5</v>
      </c>
    </row>
    <row r="64" spans="2:44">
      <c r="B64" s="570" t="s">
        <v>215</v>
      </c>
      <c r="C64" s="570" t="s">
        <v>21</v>
      </c>
      <c r="D64" s="571"/>
      <c r="E64" s="571"/>
      <c r="F64" s="571"/>
      <c r="G64" s="571"/>
      <c r="H64" s="571"/>
      <c r="I64" s="571"/>
      <c r="J64" s="571"/>
      <c r="K64" s="571"/>
      <c r="L64" s="571"/>
      <c r="M64" s="571"/>
      <c r="N64" s="571"/>
      <c r="O64" s="571"/>
      <c r="P64" s="571"/>
      <c r="Q64" s="571"/>
      <c r="R64" s="571"/>
      <c r="S64" s="571"/>
      <c r="T64" s="571"/>
      <c r="U64" s="571"/>
      <c r="V64" s="571">
        <v>0.5</v>
      </c>
      <c r="W64" s="571">
        <v>0.5</v>
      </c>
      <c r="X64" s="571">
        <v>0.5</v>
      </c>
      <c r="Y64" s="571">
        <v>0.5</v>
      </c>
      <c r="Z64" s="571"/>
      <c r="AA64" s="571">
        <v>0.5</v>
      </c>
      <c r="AB64" s="571"/>
      <c r="AC64" s="571"/>
      <c r="AD64" s="571"/>
      <c r="AE64" s="571">
        <v>0.5</v>
      </c>
      <c r="AF64" s="571">
        <v>0.5</v>
      </c>
      <c r="AG64" s="571">
        <v>0.5</v>
      </c>
      <c r="AH64" s="572">
        <v>0.5</v>
      </c>
      <c r="AI64" s="571">
        <v>0.5</v>
      </c>
      <c r="AJ64" s="572">
        <v>0.5</v>
      </c>
      <c r="AK64" s="571"/>
      <c r="AL64" s="571"/>
      <c r="AM64" s="571"/>
      <c r="AN64" s="573">
        <f t="shared" si="20"/>
        <v>5.5</v>
      </c>
      <c r="AO64" s="574">
        <f t="shared" si="21"/>
        <v>0</v>
      </c>
      <c r="AP64" s="574">
        <f t="shared" si="22"/>
        <v>0</v>
      </c>
      <c r="AQ64" s="574">
        <f t="shared" si="24"/>
        <v>2.5</v>
      </c>
      <c r="AR64" s="574">
        <f t="shared" si="23"/>
        <v>3</v>
      </c>
    </row>
    <row r="65" spans="2:44">
      <c r="B65" s="387"/>
      <c r="C65" s="387"/>
      <c r="D65" s="386"/>
      <c r="E65" s="386"/>
      <c r="F65" s="386"/>
      <c r="G65" s="386"/>
      <c r="H65" s="386"/>
      <c r="I65" s="386"/>
      <c r="J65" s="386"/>
      <c r="K65" s="386"/>
      <c r="L65" s="386"/>
      <c r="M65" s="386"/>
      <c r="N65" s="386"/>
      <c r="O65" s="386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86"/>
      <c r="AA65" s="386"/>
      <c r="AB65" s="386"/>
      <c r="AC65" s="386"/>
      <c r="AD65" s="386"/>
      <c r="AE65" s="386"/>
      <c r="AF65" s="386"/>
      <c r="AG65" s="386"/>
      <c r="AH65" s="390"/>
      <c r="AI65" s="386"/>
      <c r="AJ65" s="390"/>
      <c r="AK65" s="386"/>
      <c r="AL65" s="386"/>
      <c r="AM65" s="386"/>
      <c r="AN65" s="407">
        <f t="shared" si="6"/>
        <v>0</v>
      </c>
      <c r="AO65" s="408">
        <f t="shared" si="7"/>
        <v>0</v>
      </c>
      <c r="AP65" s="408">
        <f t="shared" si="8"/>
        <v>0</v>
      </c>
      <c r="AQ65" s="408">
        <f t="shared" si="9"/>
        <v>0</v>
      </c>
      <c r="AR65" s="408">
        <f t="shared" si="10"/>
        <v>0</v>
      </c>
    </row>
    <row r="66" spans="2:44">
      <c r="B66" s="387"/>
      <c r="C66" s="387"/>
      <c r="D66" s="386"/>
      <c r="E66" s="386"/>
      <c r="F66" s="386"/>
      <c r="G66" s="386"/>
      <c r="H66" s="386"/>
      <c r="I66" s="386"/>
      <c r="J66" s="386"/>
      <c r="K66" s="386"/>
      <c r="L66" s="386"/>
      <c r="M66" s="386"/>
      <c r="N66" s="386"/>
      <c r="O66" s="386"/>
      <c r="P66" s="386"/>
      <c r="Q66" s="386"/>
      <c r="R66" s="386"/>
      <c r="S66" s="386"/>
      <c r="T66" s="386"/>
      <c r="U66" s="386"/>
      <c r="V66" s="386"/>
      <c r="W66" s="386"/>
      <c r="X66" s="386"/>
      <c r="Y66" s="386"/>
      <c r="Z66" s="386"/>
      <c r="AA66" s="386"/>
      <c r="AB66" s="386"/>
      <c r="AC66" s="386"/>
      <c r="AD66" s="386"/>
      <c r="AE66" s="386"/>
      <c r="AF66" s="386"/>
      <c r="AG66" s="386"/>
      <c r="AH66" s="390"/>
      <c r="AI66" s="386"/>
      <c r="AJ66" s="390"/>
      <c r="AK66" s="386"/>
      <c r="AL66" s="386"/>
      <c r="AM66" s="386"/>
      <c r="AN66" s="407">
        <f t="shared" si="6"/>
        <v>0</v>
      </c>
      <c r="AO66" s="408">
        <f t="shared" si="7"/>
        <v>0</v>
      </c>
      <c r="AP66" s="408">
        <f t="shared" si="8"/>
        <v>0</v>
      </c>
      <c r="AQ66" s="408">
        <f t="shared" si="9"/>
        <v>0</v>
      </c>
      <c r="AR66" s="408">
        <f t="shared" si="10"/>
        <v>0</v>
      </c>
    </row>
    <row r="67" spans="2:44">
      <c r="B67" s="387"/>
      <c r="C67" s="387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86"/>
      <c r="O67" s="386"/>
      <c r="P67" s="386"/>
      <c r="Q67" s="386"/>
      <c r="R67" s="386"/>
      <c r="S67" s="386"/>
      <c r="T67" s="386"/>
      <c r="U67" s="386"/>
      <c r="V67" s="386"/>
      <c r="W67" s="386"/>
      <c r="X67" s="386"/>
      <c r="Y67" s="386"/>
      <c r="Z67" s="386"/>
      <c r="AA67" s="386"/>
      <c r="AB67" s="386"/>
      <c r="AC67" s="386"/>
      <c r="AD67" s="386"/>
      <c r="AE67" s="386"/>
      <c r="AF67" s="386"/>
      <c r="AG67" s="386"/>
      <c r="AH67" s="390"/>
      <c r="AI67" s="386"/>
      <c r="AJ67" s="390"/>
      <c r="AK67" s="386"/>
      <c r="AL67" s="386"/>
      <c r="AM67" s="386"/>
      <c r="AN67" s="407">
        <f t="shared" si="6"/>
        <v>0</v>
      </c>
      <c r="AO67" s="408">
        <f t="shared" si="7"/>
        <v>0</v>
      </c>
      <c r="AP67" s="408">
        <f t="shared" si="8"/>
        <v>0</v>
      </c>
      <c r="AQ67" s="408">
        <f t="shared" si="9"/>
        <v>0</v>
      </c>
      <c r="AR67" s="408">
        <f t="shared" si="10"/>
        <v>0</v>
      </c>
    </row>
    <row r="68" spans="2:44">
      <c r="B68" s="387"/>
      <c r="C68" s="387"/>
      <c r="D68" s="386"/>
      <c r="E68" s="386"/>
      <c r="F68" s="386"/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86"/>
      <c r="X68" s="386"/>
      <c r="Y68" s="386"/>
      <c r="Z68" s="386"/>
      <c r="AA68" s="386"/>
      <c r="AB68" s="386"/>
      <c r="AC68" s="386"/>
      <c r="AD68" s="386"/>
      <c r="AE68" s="386"/>
      <c r="AF68" s="386"/>
      <c r="AG68" s="386"/>
      <c r="AH68" s="390"/>
      <c r="AI68" s="386"/>
      <c r="AJ68" s="390"/>
      <c r="AK68" s="386"/>
      <c r="AL68" s="386"/>
      <c r="AM68" s="386"/>
      <c r="AN68" s="407">
        <f t="shared" si="6"/>
        <v>0</v>
      </c>
      <c r="AO68" s="408">
        <f t="shared" si="7"/>
        <v>0</v>
      </c>
      <c r="AP68" s="408">
        <f t="shared" si="8"/>
        <v>0</v>
      </c>
      <c r="AQ68" s="408">
        <f t="shared" si="9"/>
        <v>0</v>
      </c>
      <c r="AR68" s="408">
        <f t="shared" si="10"/>
        <v>0</v>
      </c>
    </row>
    <row r="69" spans="2:44">
      <c r="B69" s="387"/>
      <c r="C69" s="387"/>
      <c r="D69" s="386"/>
      <c r="E69" s="386"/>
      <c r="F69" s="386"/>
      <c r="G69" s="386"/>
      <c r="H69" s="386"/>
      <c r="I69" s="386"/>
      <c r="J69" s="386"/>
      <c r="K69" s="386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6"/>
      <c r="AG69" s="386"/>
      <c r="AH69" s="390"/>
      <c r="AI69" s="386"/>
      <c r="AJ69" s="390"/>
      <c r="AK69" s="386"/>
      <c r="AL69" s="386"/>
      <c r="AM69" s="386"/>
      <c r="AN69" s="407">
        <f t="shared" si="6"/>
        <v>0</v>
      </c>
      <c r="AO69" s="408">
        <f t="shared" si="7"/>
        <v>0</v>
      </c>
      <c r="AP69" s="408">
        <f t="shared" si="8"/>
        <v>0</v>
      </c>
      <c r="AQ69" s="408">
        <f t="shared" si="9"/>
        <v>0</v>
      </c>
      <c r="AR69" s="408">
        <f t="shared" si="10"/>
        <v>0</v>
      </c>
    </row>
    <row r="70" spans="2:44">
      <c r="B70" s="387"/>
      <c r="C70" s="387"/>
      <c r="D70" s="386"/>
      <c r="E70" s="386"/>
      <c r="F70" s="386"/>
      <c r="G70" s="386"/>
      <c r="H70" s="386"/>
      <c r="I70" s="386"/>
      <c r="J70" s="386"/>
      <c r="K70" s="386"/>
      <c r="L70" s="386"/>
      <c r="M70" s="386"/>
      <c r="N70" s="386"/>
      <c r="O70" s="386"/>
      <c r="P70" s="386"/>
      <c r="Q70" s="386"/>
      <c r="R70" s="386"/>
      <c r="S70" s="386"/>
      <c r="T70" s="386"/>
      <c r="U70" s="386"/>
      <c r="V70" s="386"/>
      <c r="W70" s="386"/>
      <c r="X70" s="386"/>
      <c r="Y70" s="386"/>
      <c r="Z70" s="386"/>
      <c r="AA70" s="386"/>
      <c r="AB70" s="386"/>
      <c r="AC70" s="386"/>
      <c r="AD70" s="386"/>
      <c r="AE70" s="386"/>
      <c r="AF70" s="386"/>
      <c r="AG70" s="386"/>
      <c r="AH70" s="390"/>
      <c r="AI70" s="386"/>
      <c r="AJ70" s="390"/>
      <c r="AK70" s="386"/>
      <c r="AL70" s="386"/>
      <c r="AM70" s="386"/>
      <c r="AN70" s="407">
        <f t="shared" si="6"/>
        <v>0</v>
      </c>
      <c r="AO70" s="408">
        <f t="shared" si="7"/>
        <v>0</v>
      </c>
      <c r="AP70" s="408">
        <f t="shared" si="8"/>
        <v>0</v>
      </c>
      <c r="AQ70" s="408">
        <f t="shared" si="9"/>
        <v>0</v>
      </c>
      <c r="AR70" s="408">
        <f t="shared" si="10"/>
        <v>0</v>
      </c>
    </row>
    <row r="71" spans="2:44">
      <c r="B71" s="387"/>
      <c r="C71" s="387"/>
      <c r="D71" s="386"/>
      <c r="E71" s="386"/>
      <c r="F71" s="386"/>
      <c r="G71" s="386"/>
      <c r="H71" s="386"/>
      <c r="I71" s="386"/>
      <c r="J71" s="386"/>
      <c r="K71" s="386"/>
      <c r="L71" s="386"/>
      <c r="M71" s="386"/>
      <c r="N71" s="386"/>
      <c r="O71" s="386"/>
      <c r="P71" s="386"/>
      <c r="Q71" s="386"/>
      <c r="R71" s="386"/>
      <c r="S71" s="386"/>
      <c r="T71" s="386"/>
      <c r="U71" s="386"/>
      <c r="V71" s="386"/>
      <c r="W71" s="386"/>
      <c r="X71" s="386"/>
      <c r="Y71" s="386"/>
      <c r="Z71" s="386"/>
      <c r="AA71" s="386"/>
      <c r="AB71" s="386"/>
      <c r="AC71" s="386"/>
      <c r="AD71" s="386"/>
      <c r="AE71" s="386"/>
      <c r="AF71" s="386"/>
      <c r="AG71" s="386"/>
      <c r="AH71" s="390"/>
      <c r="AI71" s="386"/>
      <c r="AJ71" s="390"/>
      <c r="AK71" s="386"/>
      <c r="AL71" s="386"/>
      <c r="AM71" s="386"/>
      <c r="AN71" s="407">
        <f t="shared" si="6"/>
        <v>0</v>
      </c>
      <c r="AO71" s="408">
        <f t="shared" si="7"/>
        <v>0</v>
      </c>
      <c r="AP71" s="408">
        <f t="shared" si="8"/>
        <v>0</v>
      </c>
      <c r="AQ71" s="408">
        <f t="shared" si="9"/>
        <v>0</v>
      </c>
      <c r="AR71" s="408">
        <f t="shared" si="10"/>
        <v>0</v>
      </c>
    </row>
    <row r="72" spans="2:44">
      <c r="B72" s="387"/>
      <c r="C72" s="387"/>
      <c r="D72" s="386"/>
      <c r="E72" s="386"/>
      <c r="F72" s="386"/>
      <c r="G72" s="386"/>
      <c r="H72" s="386"/>
      <c r="I72" s="386"/>
      <c r="J72" s="386"/>
      <c r="K72" s="386"/>
      <c r="L72" s="386"/>
      <c r="M72" s="386"/>
      <c r="N72" s="386"/>
      <c r="O72" s="386"/>
      <c r="P72" s="386"/>
      <c r="Q72" s="386"/>
      <c r="R72" s="386"/>
      <c r="S72" s="386"/>
      <c r="T72" s="386"/>
      <c r="U72" s="386"/>
      <c r="V72" s="386"/>
      <c r="W72" s="386"/>
      <c r="X72" s="386"/>
      <c r="Y72" s="386"/>
      <c r="Z72" s="386"/>
      <c r="AA72" s="386"/>
      <c r="AB72" s="386"/>
      <c r="AC72" s="386"/>
      <c r="AD72" s="386"/>
      <c r="AE72" s="386"/>
      <c r="AF72" s="386"/>
      <c r="AG72" s="386"/>
      <c r="AH72" s="390"/>
      <c r="AI72" s="386"/>
      <c r="AJ72" s="390"/>
      <c r="AK72" s="386"/>
      <c r="AL72" s="386"/>
      <c r="AM72" s="386"/>
      <c r="AN72" s="407">
        <f t="shared" si="6"/>
        <v>0</v>
      </c>
      <c r="AO72" s="408">
        <f t="shared" si="7"/>
        <v>0</v>
      </c>
      <c r="AP72" s="408">
        <f t="shared" si="8"/>
        <v>0</v>
      </c>
      <c r="AQ72" s="408">
        <f t="shared" si="9"/>
        <v>0</v>
      </c>
      <c r="AR72" s="408">
        <f t="shared" si="10"/>
        <v>0</v>
      </c>
    </row>
    <row r="73" spans="2:44">
      <c r="B73" s="387"/>
      <c r="C73" s="387"/>
      <c r="D73" s="386"/>
      <c r="E73" s="386"/>
      <c r="F73" s="386"/>
      <c r="G73" s="386"/>
      <c r="H73" s="386"/>
      <c r="I73" s="386"/>
      <c r="J73" s="386"/>
      <c r="K73" s="386"/>
      <c r="L73" s="386"/>
      <c r="M73" s="386"/>
      <c r="N73" s="386"/>
      <c r="O73" s="386"/>
      <c r="P73" s="386"/>
      <c r="Q73" s="386"/>
      <c r="R73" s="386"/>
      <c r="S73" s="386"/>
      <c r="T73" s="386"/>
      <c r="U73" s="386"/>
      <c r="V73" s="386"/>
      <c r="W73" s="386"/>
      <c r="X73" s="386"/>
      <c r="Y73" s="386"/>
      <c r="Z73" s="386"/>
      <c r="AA73" s="386"/>
      <c r="AB73" s="386"/>
      <c r="AC73" s="386"/>
      <c r="AD73" s="386"/>
      <c r="AE73" s="386"/>
      <c r="AF73" s="386"/>
      <c r="AG73" s="386"/>
      <c r="AH73" s="390"/>
      <c r="AI73" s="386"/>
      <c r="AJ73" s="390"/>
      <c r="AK73" s="386"/>
      <c r="AL73" s="386"/>
      <c r="AM73" s="386"/>
      <c r="AN73" s="407">
        <f t="shared" si="6"/>
        <v>0</v>
      </c>
      <c r="AO73" s="408">
        <f t="shared" si="7"/>
        <v>0</v>
      </c>
      <c r="AP73" s="408">
        <f t="shared" si="8"/>
        <v>0</v>
      </c>
      <c r="AQ73" s="408">
        <f t="shared" si="9"/>
        <v>0</v>
      </c>
      <c r="AR73" s="408">
        <f t="shared" si="10"/>
        <v>0</v>
      </c>
    </row>
    <row r="74" spans="2:44">
      <c r="B74" s="387"/>
      <c r="C74" s="387"/>
      <c r="D74" s="386"/>
      <c r="E74" s="386"/>
      <c r="F74" s="386"/>
      <c r="G74" s="386"/>
      <c r="H74" s="386"/>
      <c r="I74" s="386"/>
      <c r="J74" s="386"/>
      <c r="K74" s="386"/>
      <c r="L74" s="386"/>
      <c r="M74" s="386"/>
      <c r="N74" s="386"/>
      <c r="O74" s="386"/>
      <c r="P74" s="386"/>
      <c r="Q74" s="386"/>
      <c r="R74" s="386"/>
      <c r="S74" s="386"/>
      <c r="T74" s="386"/>
      <c r="U74" s="386"/>
      <c r="V74" s="386"/>
      <c r="W74" s="386"/>
      <c r="X74" s="386"/>
      <c r="Y74" s="386"/>
      <c r="Z74" s="386"/>
      <c r="AA74" s="386"/>
      <c r="AB74" s="386"/>
      <c r="AC74" s="386"/>
      <c r="AD74" s="386"/>
      <c r="AE74" s="386"/>
      <c r="AF74" s="386"/>
      <c r="AG74" s="386"/>
      <c r="AH74" s="390"/>
      <c r="AI74" s="386"/>
      <c r="AJ74" s="390"/>
      <c r="AK74" s="386"/>
      <c r="AL74" s="386"/>
      <c r="AM74" s="386"/>
      <c r="AN74" s="407">
        <f t="shared" si="6"/>
        <v>0</v>
      </c>
      <c r="AO74" s="408">
        <f t="shared" si="7"/>
        <v>0</v>
      </c>
      <c r="AP74" s="408">
        <f t="shared" si="8"/>
        <v>0</v>
      </c>
      <c r="AQ74" s="408">
        <f t="shared" si="9"/>
        <v>0</v>
      </c>
      <c r="AR74" s="408">
        <f t="shared" si="10"/>
        <v>0</v>
      </c>
    </row>
    <row r="75" spans="2:44">
      <c r="B75" s="387"/>
      <c r="C75" s="387"/>
      <c r="D75" s="386"/>
      <c r="E75" s="386"/>
      <c r="F75" s="386"/>
      <c r="G75" s="386"/>
      <c r="H75" s="386"/>
      <c r="I75" s="386"/>
      <c r="J75" s="386"/>
      <c r="K75" s="386"/>
      <c r="L75" s="386"/>
      <c r="M75" s="386"/>
      <c r="N75" s="386"/>
      <c r="O75" s="386"/>
      <c r="P75" s="386"/>
      <c r="Q75" s="386"/>
      <c r="R75" s="386"/>
      <c r="S75" s="386"/>
      <c r="T75" s="386"/>
      <c r="U75" s="386"/>
      <c r="V75" s="386"/>
      <c r="W75" s="386"/>
      <c r="X75" s="386"/>
      <c r="Y75" s="386"/>
      <c r="Z75" s="386"/>
      <c r="AA75" s="386"/>
      <c r="AB75" s="386"/>
      <c r="AC75" s="386"/>
      <c r="AD75" s="386"/>
      <c r="AE75" s="386"/>
      <c r="AF75" s="386"/>
      <c r="AG75" s="386"/>
      <c r="AH75" s="390"/>
      <c r="AI75" s="386"/>
      <c r="AJ75" s="390"/>
      <c r="AK75" s="386"/>
      <c r="AL75" s="386"/>
      <c r="AM75" s="386"/>
      <c r="AN75" s="407">
        <f t="shared" si="6"/>
        <v>0</v>
      </c>
      <c r="AO75" s="408">
        <f t="shared" si="7"/>
        <v>0</v>
      </c>
      <c r="AP75" s="408">
        <f t="shared" si="8"/>
        <v>0</v>
      </c>
      <c r="AQ75" s="408">
        <f t="shared" si="9"/>
        <v>0</v>
      </c>
      <c r="AR75" s="408">
        <f t="shared" si="10"/>
        <v>0</v>
      </c>
    </row>
    <row r="76" spans="2:44">
      <c r="B76" s="387"/>
      <c r="C76" s="387"/>
      <c r="D76" s="386"/>
      <c r="E76" s="386"/>
      <c r="F76" s="386"/>
      <c r="G76" s="386"/>
      <c r="H76" s="386"/>
      <c r="I76" s="386"/>
      <c r="J76" s="386"/>
      <c r="K76" s="386"/>
      <c r="L76" s="386"/>
      <c r="M76" s="386"/>
      <c r="N76" s="386"/>
      <c r="O76" s="386"/>
      <c r="P76" s="386"/>
      <c r="Q76" s="386"/>
      <c r="R76" s="386"/>
      <c r="S76" s="386"/>
      <c r="T76" s="386"/>
      <c r="U76" s="386"/>
      <c r="V76" s="386"/>
      <c r="W76" s="386"/>
      <c r="X76" s="386"/>
      <c r="Y76" s="386"/>
      <c r="Z76" s="386"/>
      <c r="AA76" s="386"/>
      <c r="AB76" s="386"/>
      <c r="AC76" s="386"/>
      <c r="AD76" s="386"/>
      <c r="AE76" s="386"/>
      <c r="AF76" s="386"/>
      <c r="AG76" s="386"/>
      <c r="AH76" s="390"/>
      <c r="AI76" s="386"/>
      <c r="AJ76" s="390"/>
      <c r="AK76" s="386"/>
      <c r="AL76" s="386"/>
      <c r="AM76" s="386"/>
      <c r="AN76" s="407">
        <f t="shared" si="6"/>
        <v>0</v>
      </c>
      <c r="AO76" s="408">
        <f t="shared" si="7"/>
        <v>0</v>
      </c>
      <c r="AP76" s="408">
        <f t="shared" si="8"/>
        <v>0</v>
      </c>
      <c r="AQ76" s="408">
        <f t="shared" si="9"/>
        <v>0</v>
      </c>
      <c r="AR76" s="408">
        <f t="shared" si="10"/>
        <v>0</v>
      </c>
    </row>
    <row r="77" spans="2:44">
      <c r="B77" s="387"/>
      <c r="C77" s="387"/>
      <c r="D77" s="386"/>
      <c r="E77" s="386"/>
      <c r="F77" s="386"/>
      <c r="G77" s="386"/>
      <c r="H77" s="386"/>
      <c r="I77" s="386"/>
      <c r="J77" s="386"/>
      <c r="K77" s="386"/>
      <c r="L77" s="386"/>
      <c r="M77" s="386"/>
      <c r="N77" s="386"/>
      <c r="O77" s="386"/>
      <c r="P77" s="386"/>
      <c r="Q77" s="386"/>
      <c r="R77" s="386"/>
      <c r="S77" s="386"/>
      <c r="T77" s="386"/>
      <c r="U77" s="386"/>
      <c r="V77" s="386"/>
      <c r="W77" s="386"/>
      <c r="X77" s="386"/>
      <c r="Y77" s="386"/>
      <c r="Z77" s="386"/>
      <c r="AA77" s="386"/>
      <c r="AB77" s="386"/>
      <c r="AC77" s="386"/>
      <c r="AD77" s="386"/>
      <c r="AE77" s="386"/>
      <c r="AF77" s="386"/>
      <c r="AG77" s="386"/>
      <c r="AH77" s="390"/>
      <c r="AI77" s="386"/>
      <c r="AJ77" s="390"/>
      <c r="AK77" s="386"/>
      <c r="AL77" s="386"/>
      <c r="AM77" s="386"/>
      <c r="AN77" s="407">
        <f t="shared" si="6"/>
        <v>0</v>
      </c>
      <c r="AO77" s="408">
        <f t="shared" si="7"/>
        <v>0</v>
      </c>
      <c r="AP77" s="408">
        <f t="shared" si="8"/>
        <v>0</v>
      </c>
      <c r="AQ77" s="408">
        <f t="shared" si="9"/>
        <v>0</v>
      </c>
      <c r="AR77" s="408">
        <f t="shared" si="10"/>
        <v>0</v>
      </c>
    </row>
    <row r="78" spans="2:44">
      <c r="B78" s="387"/>
      <c r="C78" s="387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  <c r="Y78" s="386"/>
      <c r="Z78" s="386"/>
      <c r="AA78" s="386"/>
      <c r="AB78" s="386"/>
      <c r="AC78" s="386"/>
      <c r="AD78" s="386"/>
      <c r="AE78" s="386"/>
      <c r="AF78" s="386"/>
      <c r="AG78" s="386"/>
      <c r="AH78" s="390"/>
      <c r="AI78" s="386"/>
      <c r="AJ78" s="390"/>
      <c r="AK78" s="386"/>
      <c r="AL78" s="386"/>
      <c r="AM78" s="386"/>
      <c r="AN78" s="407">
        <f t="shared" si="6"/>
        <v>0</v>
      </c>
      <c r="AO78" s="408">
        <f t="shared" si="7"/>
        <v>0</v>
      </c>
      <c r="AP78" s="408">
        <f t="shared" si="8"/>
        <v>0</v>
      </c>
      <c r="AQ78" s="408">
        <f t="shared" si="9"/>
        <v>0</v>
      </c>
      <c r="AR78" s="408">
        <f t="shared" si="10"/>
        <v>0</v>
      </c>
    </row>
    <row r="79" spans="2:44">
      <c r="B79" s="387"/>
      <c r="C79" s="387"/>
      <c r="D79" s="386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386"/>
      <c r="T79" s="386"/>
      <c r="U79" s="386"/>
      <c r="V79" s="386"/>
      <c r="W79" s="386"/>
      <c r="X79" s="386"/>
      <c r="Y79" s="386"/>
      <c r="Z79" s="386"/>
      <c r="AA79" s="386"/>
      <c r="AB79" s="386"/>
      <c r="AC79" s="386"/>
      <c r="AD79" s="386"/>
      <c r="AE79" s="386"/>
      <c r="AF79" s="386"/>
      <c r="AG79" s="386"/>
      <c r="AH79" s="390"/>
      <c r="AI79" s="386"/>
      <c r="AJ79" s="390"/>
      <c r="AK79" s="386"/>
      <c r="AL79" s="386"/>
      <c r="AM79" s="386"/>
      <c r="AN79" s="407">
        <f t="shared" si="6"/>
        <v>0</v>
      </c>
      <c r="AO79" s="408">
        <f t="shared" si="7"/>
        <v>0</v>
      </c>
      <c r="AP79" s="408">
        <f t="shared" si="8"/>
        <v>0</v>
      </c>
      <c r="AQ79" s="408">
        <f t="shared" si="9"/>
        <v>0</v>
      </c>
      <c r="AR79" s="408">
        <f t="shared" si="10"/>
        <v>0</v>
      </c>
    </row>
    <row r="80" spans="2:44">
      <c r="B80" s="387"/>
      <c r="C80" s="387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  <c r="Y80" s="386"/>
      <c r="Z80" s="386"/>
      <c r="AA80" s="386"/>
      <c r="AB80" s="386"/>
      <c r="AC80" s="386"/>
      <c r="AD80" s="386"/>
      <c r="AE80" s="386"/>
      <c r="AF80" s="386"/>
      <c r="AG80" s="386"/>
      <c r="AH80" s="390"/>
      <c r="AI80" s="386"/>
      <c r="AJ80" s="390"/>
      <c r="AK80" s="386"/>
      <c r="AL80" s="386"/>
      <c r="AM80" s="386"/>
      <c r="AN80" s="407">
        <f t="shared" si="6"/>
        <v>0</v>
      </c>
      <c r="AO80" s="408">
        <f t="shared" si="7"/>
        <v>0</v>
      </c>
      <c r="AP80" s="408">
        <f t="shared" si="8"/>
        <v>0</v>
      </c>
      <c r="AQ80" s="408">
        <f t="shared" si="9"/>
        <v>0</v>
      </c>
      <c r="AR80" s="408">
        <f t="shared" si="10"/>
        <v>0</v>
      </c>
    </row>
    <row r="81" spans="2:44">
      <c r="B81" s="387"/>
      <c r="C81" s="387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6"/>
      <c r="O81" s="386"/>
      <c r="P81" s="386"/>
      <c r="Q81" s="386"/>
      <c r="R81" s="386"/>
      <c r="S81" s="386"/>
      <c r="T81" s="386"/>
      <c r="U81" s="386"/>
      <c r="V81" s="386"/>
      <c r="W81" s="386"/>
      <c r="X81" s="386"/>
      <c r="Y81" s="386"/>
      <c r="Z81" s="386"/>
      <c r="AA81" s="386"/>
      <c r="AB81" s="386"/>
      <c r="AC81" s="386"/>
      <c r="AD81" s="386"/>
      <c r="AE81" s="386"/>
      <c r="AF81" s="386"/>
      <c r="AG81" s="386"/>
      <c r="AH81" s="390"/>
      <c r="AI81" s="386"/>
      <c r="AJ81" s="390"/>
      <c r="AK81" s="386"/>
      <c r="AL81" s="386"/>
      <c r="AM81" s="386"/>
      <c r="AN81" s="407">
        <f t="shared" si="6"/>
        <v>0</v>
      </c>
      <c r="AO81" s="408">
        <f t="shared" si="7"/>
        <v>0</v>
      </c>
      <c r="AP81" s="408">
        <f t="shared" si="8"/>
        <v>0</v>
      </c>
      <c r="AQ81" s="408">
        <f t="shared" si="9"/>
        <v>0</v>
      </c>
      <c r="AR81" s="408">
        <f t="shared" si="10"/>
        <v>0</v>
      </c>
    </row>
    <row r="82" spans="2:44">
      <c r="B82" s="387"/>
      <c r="C82" s="387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6"/>
      <c r="P82" s="386"/>
      <c r="Q82" s="386"/>
      <c r="R82" s="386"/>
      <c r="S82" s="386"/>
      <c r="T82" s="386"/>
      <c r="U82" s="386"/>
      <c r="V82" s="386"/>
      <c r="W82" s="386"/>
      <c r="X82" s="386"/>
      <c r="Y82" s="386"/>
      <c r="Z82" s="386"/>
      <c r="AA82" s="386"/>
      <c r="AB82" s="386"/>
      <c r="AC82" s="386"/>
      <c r="AD82" s="386"/>
      <c r="AE82" s="386"/>
      <c r="AF82" s="386"/>
      <c r="AG82" s="386"/>
      <c r="AH82" s="390"/>
      <c r="AI82" s="386"/>
      <c r="AJ82" s="390"/>
      <c r="AK82" s="386"/>
      <c r="AL82" s="386"/>
      <c r="AM82" s="386"/>
      <c r="AN82" s="407">
        <f t="shared" si="6"/>
        <v>0</v>
      </c>
      <c r="AO82" s="408">
        <f t="shared" si="7"/>
        <v>0</v>
      </c>
      <c r="AP82" s="408">
        <f t="shared" si="8"/>
        <v>0</v>
      </c>
      <c r="AQ82" s="408">
        <f t="shared" si="9"/>
        <v>0</v>
      </c>
      <c r="AR82" s="408">
        <f t="shared" si="10"/>
        <v>0</v>
      </c>
    </row>
    <row r="83" spans="2:44">
      <c r="B83" s="387"/>
      <c r="C83" s="387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6"/>
      <c r="O83" s="386"/>
      <c r="P83" s="386"/>
      <c r="Q83" s="386"/>
      <c r="R83" s="386"/>
      <c r="S83" s="386"/>
      <c r="T83" s="386"/>
      <c r="U83" s="386"/>
      <c r="V83" s="386"/>
      <c r="W83" s="386"/>
      <c r="X83" s="386"/>
      <c r="Y83" s="386"/>
      <c r="Z83" s="386"/>
      <c r="AA83" s="386"/>
      <c r="AB83" s="386"/>
      <c r="AC83" s="386"/>
      <c r="AD83" s="386"/>
      <c r="AE83" s="386"/>
      <c r="AF83" s="386"/>
      <c r="AG83" s="386"/>
      <c r="AH83" s="390"/>
      <c r="AI83" s="386"/>
      <c r="AJ83" s="390"/>
      <c r="AK83" s="386"/>
      <c r="AL83" s="386"/>
      <c r="AM83" s="386"/>
      <c r="AN83" s="407">
        <f t="shared" si="6"/>
        <v>0</v>
      </c>
      <c r="AO83" s="408">
        <f t="shared" si="7"/>
        <v>0</v>
      </c>
      <c r="AP83" s="408">
        <f t="shared" si="8"/>
        <v>0</v>
      </c>
      <c r="AQ83" s="408">
        <f t="shared" si="9"/>
        <v>0</v>
      </c>
      <c r="AR83" s="408">
        <f t="shared" si="10"/>
        <v>0</v>
      </c>
    </row>
    <row r="84" spans="2:44">
      <c r="B84" s="387"/>
      <c r="C84" s="387"/>
      <c r="D84" s="386"/>
      <c r="E84" s="386"/>
      <c r="F84" s="386"/>
      <c r="G84" s="386"/>
      <c r="H84" s="386"/>
      <c r="I84" s="386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  <c r="AA84" s="386"/>
      <c r="AB84" s="386"/>
      <c r="AC84" s="386"/>
      <c r="AD84" s="386"/>
      <c r="AE84" s="386"/>
      <c r="AF84" s="386"/>
      <c r="AG84" s="386"/>
      <c r="AH84" s="390"/>
      <c r="AI84" s="386"/>
      <c r="AJ84" s="390"/>
      <c r="AK84" s="386"/>
      <c r="AL84" s="386"/>
      <c r="AM84" s="386"/>
      <c r="AN84" s="407">
        <f t="shared" si="6"/>
        <v>0</v>
      </c>
      <c r="AO84" s="408">
        <f t="shared" si="7"/>
        <v>0</v>
      </c>
      <c r="AP84" s="408">
        <f t="shared" si="8"/>
        <v>0</v>
      </c>
      <c r="AQ84" s="408">
        <f t="shared" si="9"/>
        <v>0</v>
      </c>
      <c r="AR84" s="408">
        <f t="shared" si="10"/>
        <v>0</v>
      </c>
    </row>
    <row r="85" spans="2:44">
      <c r="B85" s="387"/>
      <c r="C85" s="387"/>
      <c r="D85" s="386"/>
      <c r="E85" s="386"/>
      <c r="F85" s="386"/>
      <c r="G85" s="386"/>
      <c r="H85" s="386"/>
      <c r="I85" s="386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  <c r="AG85" s="386"/>
      <c r="AH85" s="390"/>
      <c r="AI85" s="386"/>
      <c r="AJ85" s="390"/>
      <c r="AK85" s="386"/>
      <c r="AL85" s="386"/>
      <c r="AM85" s="386"/>
      <c r="AN85" s="407">
        <f t="shared" si="6"/>
        <v>0</v>
      </c>
      <c r="AO85" s="408">
        <f t="shared" si="7"/>
        <v>0</v>
      </c>
      <c r="AP85" s="408">
        <f t="shared" si="8"/>
        <v>0</v>
      </c>
      <c r="AQ85" s="408">
        <f t="shared" si="9"/>
        <v>0</v>
      </c>
      <c r="AR85" s="408">
        <f t="shared" si="10"/>
        <v>0</v>
      </c>
    </row>
    <row r="86" spans="2:44">
      <c r="B86" s="387"/>
      <c r="C86" s="387"/>
      <c r="D86" s="386"/>
      <c r="E86" s="386"/>
      <c r="F86" s="386"/>
      <c r="G86" s="386"/>
      <c r="H86" s="386"/>
      <c r="I86" s="386"/>
      <c r="J86" s="386"/>
      <c r="K86" s="386"/>
      <c r="L86" s="386"/>
      <c r="M86" s="386"/>
      <c r="N86" s="386"/>
      <c r="O86" s="386"/>
      <c r="P86" s="386"/>
      <c r="Q86" s="386"/>
      <c r="R86" s="386"/>
      <c r="S86" s="386"/>
      <c r="T86" s="386"/>
      <c r="U86" s="386"/>
      <c r="V86" s="386"/>
      <c r="W86" s="386"/>
      <c r="X86" s="386"/>
      <c r="Y86" s="386"/>
      <c r="Z86" s="386"/>
      <c r="AA86" s="386"/>
      <c r="AB86" s="386"/>
      <c r="AC86" s="386"/>
      <c r="AD86" s="386"/>
      <c r="AE86" s="386"/>
      <c r="AF86" s="386"/>
      <c r="AG86" s="386"/>
      <c r="AH86" s="390"/>
      <c r="AI86" s="386"/>
      <c r="AJ86" s="390"/>
      <c r="AK86" s="386"/>
      <c r="AL86" s="386"/>
      <c r="AM86" s="386"/>
      <c r="AN86" s="407">
        <f t="shared" si="6"/>
        <v>0</v>
      </c>
      <c r="AO86" s="408">
        <f t="shared" si="7"/>
        <v>0</v>
      </c>
      <c r="AP86" s="408">
        <f t="shared" si="8"/>
        <v>0</v>
      </c>
      <c r="AQ86" s="408">
        <f t="shared" si="9"/>
        <v>0</v>
      </c>
      <c r="AR86" s="408">
        <f t="shared" si="10"/>
        <v>0</v>
      </c>
    </row>
    <row r="87" spans="2:44">
      <c r="B87" s="387"/>
      <c r="C87" s="387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6"/>
      <c r="O87" s="386"/>
      <c r="P87" s="386"/>
      <c r="Q87" s="386"/>
      <c r="R87" s="386"/>
      <c r="S87" s="386"/>
      <c r="T87" s="386"/>
      <c r="U87" s="386"/>
      <c r="V87" s="386"/>
      <c r="W87" s="386"/>
      <c r="X87" s="386"/>
      <c r="Y87" s="386"/>
      <c r="Z87" s="386"/>
      <c r="AA87" s="386"/>
      <c r="AB87" s="386"/>
      <c r="AC87" s="386"/>
      <c r="AD87" s="386"/>
      <c r="AE87" s="386"/>
      <c r="AF87" s="386"/>
      <c r="AG87" s="386"/>
      <c r="AH87" s="390"/>
      <c r="AI87" s="386"/>
      <c r="AJ87" s="390"/>
      <c r="AK87" s="386"/>
      <c r="AL87" s="386"/>
      <c r="AM87" s="386"/>
      <c r="AN87" s="407">
        <f t="shared" si="6"/>
        <v>0</v>
      </c>
      <c r="AO87" s="408">
        <f t="shared" si="7"/>
        <v>0</v>
      </c>
      <c r="AP87" s="408">
        <f t="shared" si="8"/>
        <v>0</v>
      </c>
      <c r="AQ87" s="408">
        <f t="shared" si="9"/>
        <v>0</v>
      </c>
      <c r="AR87" s="408">
        <f t="shared" si="10"/>
        <v>0</v>
      </c>
    </row>
    <row r="88" spans="2:44">
      <c r="B88" s="387"/>
      <c r="C88" s="387"/>
      <c r="D88" s="386"/>
      <c r="E88" s="386"/>
      <c r="F88" s="386"/>
      <c r="G88" s="386"/>
      <c r="H88" s="386"/>
      <c r="I88" s="386"/>
      <c r="J88" s="386"/>
      <c r="K88" s="386"/>
      <c r="L88" s="386"/>
      <c r="M88" s="386"/>
      <c r="N88" s="386"/>
      <c r="O88" s="386"/>
      <c r="P88" s="386"/>
      <c r="Q88" s="386"/>
      <c r="R88" s="386"/>
      <c r="S88" s="386"/>
      <c r="T88" s="386"/>
      <c r="U88" s="386"/>
      <c r="V88" s="386"/>
      <c r="W88" s="386"/>
      <c r="X88" s="386"/>
      <c r="Y88" s="386"/>
      <c r="Z88" s="386"/>
      <c r="AA88" s="386"/>
      <c r="AB88" s="386"/>
      <c r="AC88" s="386"/>
      <c r="AD88" s="386"/>
      <c r="AE88" s="386"/>
      <c r="AF88" s="386"/>
      <c r="AG88" s="386"/>
      <c r="AH88" s="390"/>
      <c r="AI88" s="386"/>
      <c r="AJ88" s="390"/>
      <c r="AK88" s="386"/>
      <c r="AL88" s="386"/>
      <c r="AM88" s="386"/>
      <c r="AN88" s="407">
        <f t="shared" si="6"/>
        <v>0</v>
      </c>
      <c r="AO88" s="408">
        <f t="shared" si="7"/>
        <v>0</v>
      </c>
      <c r="AP88" s="408">
        <f t="shared" si="8"/>
        <v>0</v>
      </c>
      <c r="AQ88" s="408">
        <f t="shared" si="9"/>
        <v>0</v>
      </c>
      <c r="AR88" s="408">
        <f t="shared" si="10"/>
        <v>0</v>
      </c>
    </row>
    <row r="89" spans="2:44">
      <c r="B89" s="387"/>
      <c r="C89" s="387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86"/>
      <c r="O89" s="386"/>
      <c r="P89" s="386"/>
      <c r="Q89" s="386"/>
      <c r="R89" s="386"/>
      <c r="S89" s="386"/>
      <c r="T89" s="386"/>
      <c r="U89" s="386"/>
      <c r="V89" s="386"/>
      <c r="W89" s="386"/>
      <c r="X89" s="386"/>
      <c r="Y89" s="386"/>
      <c r="Z89" s="386"/>
      <c r="AA89" s="386"/>
      <c r="AB89" s="386"/>
      <c r="AC89" s="386"/>
      <c r="AD89" s="386"/>
      <c r="AE89" s="386"/>
      <c r="AF89" s="386"/>
      <c r="AG89" s="386"/>
      <c r="AH89" s="390"/>
      <c r="AI89" s="386"/>
      <c r="AJ89" s="390"/>
      <c r="AK89" s="386"/>
      <c r="AL89" s="386"/>
      <c r="AM89" s="386"/>
      <c r="AN89" s="407">
        <f t="shared" ref="AN89:AN93" si="25">SUM(D89:AM89)</f>
        <v>0</v>
      </c>
      <c r="AO89" s="408">
        <f t="shared" ref="AO89:AO93" si="26">SUMIF($D$13:$AM$13,$AO$13,D89:AM89)</f>
        <v>0</v>
      </c>
      <c r="AP89" s="408">
        <f t="shared" ref="AP89:AP93" si="27">SUMIF($D$13:$AM$13,$AP$13,D89:AM89)</f>
        <v>0</v>
      </c>
      <c r="AQ89" s="408">
        <f t="shared" ref="AQ89:AQ93" si="28">SUMIF($D$13:$AM$13,$AQ$13,D89:AM89)</f>
        <v>0</v>
      </c>
      <c r="AR89" s="408">
        <f t="shared" ref="AR89:AR93" si="29">SUMIF($D$13:$AM$13,$AR$13,D89:AM89)</f>
        <v>0</v>
      </c>
    </row>
    <row r="90" spans="2:44">
      <c r="B90" s="387"/>
      <c r="C90" s="387"/>
      <c r="D90" s="386"/>
      <c r="E90" s="386"/>
      <c r="F90" s="386"/>
      <c r="G90" s="386"/>
      <c r="H90" s="386"/>
      <c r="I90" s="386"/>
      <c r="J90" s="386"/>
      <c r="K90" s="386"/>
      <c r="L90" s="386"/>
      <c r="M90" s="386"/>
      <c r="N90" s="386"/>
      <c r="O90" s="386"/>
      <c r="P90" s="386"/>
      <c r="Q90" s="386"/>
      <c r="R90" s="386"/>
      <c r="S90" s="386"/>
      <c r="T90" s="386"/>
      <c r="U90" s="386"/>
      <c r="V90" s="386"/>
      <c r="W90" s="386"/>
      <c r="X90" s="386"/>
      <c r="Y90" s="386"/>
      <c r="Z90" s="386"/>
      <c r="AA90" s="386"/>
      <c r="AB90" s="386"/>
      <c r="AC90" s="386"/>
      <c r="AD90" s="386"/>
      <c r="AE90" s="386"/>
      <c r="AF90" s="386"/>
      <c r="AG90" s="386"/>
      <c r="AH90" s="390"/>
      <c r="AI90" s="386"/>
      <c r="AJ90" s="390"/>
      <c r="AK90" s="386"/>
      <c r="AL90" s="386"/>
      <c r="AM90" s="386"/>
      <c r="AN90" s="407">
        <f t="shared" si="25"/>
        <v>0</v>
      </c>
      <c r="AO90" s="408">
        <f t="shared" si="26"/>
        <v>0</v>
      </c>
      <c r="AP90" s="408">
        <f t="shared" si="27"/>
        <v>0</v>
      </c>
      <c r="AQ90" s="408">
        <f t="shared" si="28"/>
        <v>0</v>
      </c>
      <c r="AR90" s="408">
        <f t="shared" si="29"/>
        <v>0</v>
      </c>
    </row>
    <row r="91" spans="2:44">
      <c r="B91" s="387"/>
      <c r="C91" s="387"/>
      <c r="D91" s="386"/>
      <c r="E91" s="386"/>
      <c r="F91" s="386"/>
      <c r="G91" s="386"/>
      <c r="H91" s="386"/>
      <c r="I91" s="386"/>
      <c r="J91" s="386"/>
      <c r="K91" s="386"/>
      <c r="L91" s="386"/>
      <c r="M91" s="386"/>
      <c r="N91" s="386"/>
      <c r="O91" s="386"/>
      <c r="P91" s="386"/>
      <c r="Q91" s="386"/>
      <c r="R91" s="386"/>
      <c r="S91" s="386"/>
      <c r="T91" s="386"/>
      <c r="U91" s="386"/>
      <c r="V91" s="386"/>
      <c r="W91" s="386"/>
      <c r="X91" s="386"/>
      <c r="Y91" s="386"/>
      <c r="Z91" s="386"/>
      <c r="AA91" s="386"/>
      <c r="AB91" s="386"/>
      <c r="AC91" s="386"/>
      <c r="AD91" s="386"/>
      <c r="AE91" s="386"/>
      <c r="AF91" s="386"/>
      <c r="AG91" s="386"/>
      <c r="AH91" s="390"/>
      <c r="AI91" s="386"/>
      <c r="AJ91" s="390"/>
      <c r="AK91" s="386"/>
      <c r="AL91" s="386"/>
      <c r="AM91" s="386"/>
      <c r="AN91" s="407">
        <f t="shared" si="25"/>
        <v>0</v>
      </c>
      <c r="AO91" s="408">
        <f t="shared" si="26"/>
        <v>0</v>
      </c>
      <c r="AP91" s="408">
        <f t="shared" si="27"/>
        <v>0</v>
      </c>
      <c r="AQ91" s="408">
        <f t="shared" si="28"/>
        <v>0</v>
      </c>
      <c r="AR91" s="408">
        <f t="shared" si="29"/>
        <v>0</v>
      </c>
    </row>
    <row r="92" spans="2:44">
      <c r="B92" s="387"/>
      <c r="C92" s="387"/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6"/>
      <c r="O92" s="386"/>
      <c r="P92" s="386"/>
      <c r="Q92" s="386"/>
      <c r="R92" s="386"/>
      <c r="S92" s="386"/>
      <c r="T92" s="386"/>
      <c r="U92" s="386"/>
      <c r="V92" s="386"/>
      <c r="W92" s="386"/>
      <c r="X92" s="386"/>
      <c r="Y92" s="386"/>
      <c r="Z92" s="386"/>
      <c r="AA92" s="386"/>
      <c r="AB92" s="386"/>
      <c r="AC92" s="386"/>
      <c r="AD92" s="386"/>
      <c r="AE92" s="386"/>
      <c r="AF92" s="386"/>
      <c r="AG92" s="386"/>
      <c r="AH92" s="390"/>
      <c r="AI92" s="386"/>
      <c r="AJ92" s="390"/>
      <c r="AK92" s="386"/>
      <c r="AL92" s="386"/>
      <c r="AM92" s="386"/>
      <c r="AN92" s="407">
        <f t="shared" si="25"/>
        <v>0</v>
      </c>
      <c r="AO92" s="408">
        <f t="shared" si="26"/>
        <v>0</v>
      </c>
      <c r="AP92" s="408">
        <f t="shared" si="27"/>
        <v>0</v>
      </c>
      <c r="AQ92" s="408">
        <f t="shared" si="28"/>
        <v>0</v>
      </c>
      <c r="AR92" s="408">
        <f t="shared" si="29"/>
        <v>0</v>
      </c>
    </row>
    <row r="93" spans="2:44">
      <c r="B93" s="387"/>
      <c r="C93" s="387"/>
      <c r="D93" s="386"/>
      <c r="E93" s="386"/>
      <c r="F93" s="386"/>
      <c r="G93" s="386"/>
      <c r="H93" s="386"/>
      <c r="I93" s="386"/>
      <c r="J93" s="386"/>
      <c r="K93" s="386"/>
      <c r="L93" s="386"/>
      <c r="M93" s="386"/>
      <c r="N93" s="386"/>
      <c r="O93" s="386"/>
      <c r="P93" s="386"/>
      <c r="Q93" s="386"/>
      <c r="R93" s="386"/>
      <c r="S93" s="386"/>
      <c r="T93" s="386"/>
      <c r="U93" s="386"/>
      <c r="V93" s="386"/>
      <c r="W93" s="386"/>
      <c r="X93" s="386"/>
      <c r="Y93" s="386"/>
      <c r="Z93" s="386"/>
      <c r="AA93" s="386"/>
      <c r="AB93" s="386"/>
      <c r="AC93" s="386"/>
      <c r="AD93" s="386"/>
      <c r="AE93" s="386"/>
      <c r="AF93" s="386"/>
      <c r="AG93" s="386"/>
      <c r="AH93" s="390"/>
      <c r="AI93" s="386"/>
      <c r="AJ93" s="390"/>
      <c r="AK93" s="386"/>
      <c r="AL93" s="386"/>
      <c r="AM93" s="386"/>
      <c r="AN93" s="407">
        <f t="shared" si="25"/>
        <v>0</v>
      </c>
      <c r="AO93" s="408">
        <f t="shared" si="26"/>
        <v>0</v>
      </c>
      <c r="AP93" s="408">
        <f t="shared" si="27"/>
        <v>0</v>
      </c>
      <c r="AQ93" s="408">
        <f t="shared" si="28"/>
        <v>0</v>
      </c>
      <c r="AR93" s="408">
        <f t="shared" si="29"/>
        <v>0</v>
      </c>
    </row>
    <row r="94" spans="2:44">
      <c r="B94" s="387"/>
      <c r="C94" s="387"/>
      <c r="D94" s="386"/>
      <c r="E94" s="386"/>
      <c r="F94" s="386"/>
      <c r="G94" s="386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6"/>
      <c r="AE94" s="386"/>
      <c r="AF94" s="386"/>
      <c r="AG94" s="386"/>
      <c r="AH94" s="390"/>
      <c r="AI94" s="386"/>
      <c r="AJ94" s="390"/>
      <c r="AK94" s="386"/>
      <c r="AL94" s="386"/>
      <c r="AM94" s="386"/>
      <c r="AN94" s="407">
        <f t="shared" si="1"/>
        <v>0</v>
      </c>
      <c r="AO94" s="408">
        <f t="shared" si="2"/>
        <v>0</v>
      </c>
      <c r="AP94" s="408">
        <f t="shared" si="3"/>
        <v>0</v>
      </c>
      <c r="AQ94" s="408">
        <f t="shared" si="4"/>
        <v>0</v>
      </c>
      <c r="AR94" s="408">
        <f t="shared" si="5"/>
        <v>0</v>
      </c>
    </row>
    <row r="95" spans="2:44">
      <c r="B95" s="387"/>
      <c r="C95" s="387"/>
      <c r="D95" s="386"/>
      <c r="E95" s="386"/>
      <c r="F95" s="386"/>
      <c r="G95" s="386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6"/>
      <c r="AE95" s="386"/>
      <c r="AF95" s="386"/>
      <c r="AG95" s="386"/>
      <c r="AH95" s="390"/>
      <c r="AI95" s="386"/>
      <c r="AJ95" s="390"/>
      <c r="AK95" s="386"/>
      <c r="AL95" s="386"/>
      <c r="AM95" s="386"/>
      <c r="AN95" s="407">
        <f t="shared" si="1"/>
        <v>0</v>
      </c>
      <c r="AO95" s="408">
        <f t="shared" si="2"/>
        <v>0</v>
      </c>
      <c r="AP95" s="408">
        <f t="shared" si="3"/>
        <v>0</v>
      </c>
      <c r="AQ95" s="408">
        <f t="shared" si="4"/>
        <v>0</v>
      </c>
      <c r="AR95" s="408">
        <f t="shared" si="5"/>
        <v>0</v>
      </c>
    </row>
    <row r="96" spans="2:44">
      <c r="B96" s="387"/>
      <c r="C96" s="387"/>
      <c r="D96" s="386"/>
      <c r="E96" s="386"/>
      <c r="F96" s="386"/>
      <c r="G96" s="386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6"/>
      <c r="AE96" s="386"/>
      <c r="AF96" s="386"/>
      <c r="AG96" s="386"/>
      <c r="AH96" s="390"/>
      <c r="AI96" s="386"/>
      <c r="AJ96" s="390"/>
      <c r="AK96" s="386"/>
      <c r="AL96" s="386"/>
      <c r="AM96" s="386"/>
      <c r="AN96" s="407">
        <f t="shared" si="1"/>
        <v>0</v>
      </c>
      <c r="AO96" s="408">
        <f t="shared" si="2"/>
        <v>0</v>
      </c>
      <c r="AP96" s="408">
        <f t="shared" si="3"/>
        <v>0</v>
      </c>
      <c r="AQ96" s="408">
        <f t="shared" si="4"/>
        <v>0</v>
      </c>
      <c r="AR96" s="408">
        <f t="shared" si="5"/>
        <v>0</v>
      </c>
    </row>
    <row r="97" spans="2:44">
      <c r="B97" s="387"/>
      <c r="C97" s="387"/>
      <c r="D97" s="386"/>
      <c r="E97" s="386"/>
      <c r="F97" s="386"/>
      <c r="G97" s="386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6"/>
      <c r="AE97" s="386"/>
      <c r="AF97" s="386"/>
      <c r="AG97" s="386"/>
      <c r="AH97" s="390"/>
      <c r="AI97" s="386"/>
      <c r="AJ97" s="390"/>
      <c r="AK97" s="386"/>
      <c r="AL97" s="386"/>
      <c r="AM97" s="386"/>
      <c r="AN97" s="407">
        <f t="shared" si="1"/>
        <v>0</v>
      </c>
      <c r="AO97" s="408">
        <f t="shared" si="2"/>
        <v>0</v>
      </c>
      <c r="AP97" s="408">
        <f t="shared" si="3"/>
        <v>0</v>
      </c>
      <c r="AQ97" s="408">
        <f t="shared" si="4"/>
        <v>0</v>
      </c>
      <c r="AR97" s="408">
        <f t="shared" si="5"/>
        <v>0</v>
      </c>
    </row>
    <row r="98" spans="2:44">
      <c r="B98" s="387"/>
      <c r="C98" s="387"/>
      <c r="D98" s="386"/>
      <c r="E98" s="386"/>
      <c r="F98" s="386"/>
      <c r="G98" s="386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6"/>
      <c r="AE98" s="386"/>
      <c r="AF98" s="386"/>
      <c r="AG98" s="386"/>
      <c r="AH98" s="390"/>
      <c r="AI98" s="386"/>
      <c r="AJ98" s="390"/>
      <c r="AK98" s="386"/>
      <c r="AL98" s="386"/>
      <c r="AM98" s="386"/>
      <c r="AN98" s="407">
        <f t="shared" si="1"/>
        <v>0</v>
      </c>
      <c r="AO98" s="408">
        <f t="shared" si="2"/>
        <v>0</v>
      </c>
      <c r="AP98" s="408">
        <f t="shared" si="3"/>
        <v>0</v>
      </c>
      <c r="AQ98" s="408">
        <f t="shared" si="4"/>
        <v>0</v>
      </c>
      <c r="AR98" s="408">
        <f t="shared" si="5"/>
        <v>0</v>
      </c>
    </row>
    <row r="99" spans="2:44">
      <c r="B99" s="387"/>
      <c r="C99" s="387"/>
      <c r="D99" s="386"/>
      <c r="E99" s="386"/>
      <c r="F99" s="386"/>
      <c r="G99" s="386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6"/>
      <c r="AE99" s="386"/>
      <c r="AF99" s="386"/>
      <c r="AG99" s="386"/>
      <c r="AH99" s="390"/>
      <c r="AI99" s="386"/>
      <c r="AJ99" s="390"/>
      <c r="AK99" s="386"/>
      <c r="AL99" s="386"/>
      <c r="AM99" s="386"/>
      <c r="AN99" s="407">
        <f t="shared" si="1"/>
        <v>0</v>
      </c>
      <c r="AO99" s="408">
        <f t="shared" si="2"/>
        <v>0</v>
      </c>
      <c r="AP99" s="408">
        <f t="shared" si="3"/>
        <v>0</v>
      </c>
      <c r="AQ99" s="408">
        <f t="shared" si="4"/>
        <v>0</v>
      </c>
      <c r="AR99" s="408">
        <f t="shared" si="5"/>
        <v>0</v>
      </c>
    </row>
    <row r="100" spans="2:44">
      <c r="B100" s="387"/>
      <c r="C100" s="387"/>
      <c r="D100" s="386"/>
      <c r="E100" s="386"/>
      <c r="F100" s="386"/>
      <c r="G100" s="386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6"/>
      <c r="AE100" s="386"/>
      <c r="AF100" s="386"/>
      <c r="AG100" s="386"/>
      <c r="AH100" s="390"/>
      <c r="AI100" s="386"/>
      <c r="AJ100" s="390"/>
      <c r="AK100" s="386"/>
      <c r="AL100" s="386"/>
      <c r="AM100" s="386"/>
      <c r="AN100" s="407">
        <f t="shared" si="1"/>
        <v>0</v>
      </c>
      <c r="AO100" s="408">
        <f t="shared" si="2"/>
        <v>0</v>
      </c>
      <c r="AP100" s="408">
        <f t="shared" si="3"/>
        <v>0</v>
      </c>
      <c r="AQ100" s="408">
        <f t="shared" si="4"/>
        <v>0</v>
      </c>
      <c r="AR100" s="408">
        <f t="shared" si="5"/>
        <v>0</v>
      </c>
    </row>
    <row r="101" spans="2:44">
      <c r="B101" s="387"/>
      <c r="C101" s="387"/>
      <c r="D101" s="386"/>
      <c r="E101" s="386"/>
      <c r="F101" s="386"/>
      <c r="G101" s="386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6"/>
      <c r="AE101" s="386"/>
      <c r="AF101" s="386"/>
      <c r="AG101" s="386"/>
      <c r="AH101" s="390"/>
      <c r="AI101" s="386"/>
      <c r="AJ101" s="390"/>
      <c r="AK101" s="386"/>
      <c r="AL101" s="386"/>
      <c r="AM101" s="386"/>
      <c r="AN101" s="407">
        <f t="shared" si="1"/>
        <v>0</v>
      </c>
      <c r="AO101" s="408">
        <f t="shared" si="2"/>
        <v>0</v>
      </c>
      <c r="AP101" s="408">
        <f t="shared" si="3"/>
        <v>0</v>
      </c>
      <c r="AQ101" s="408">
        <f t="shared" si="4"/>
        <v>0</v>
      </c>
      <c r="AR101" s="408">
        <f t="shared" si="5"/>
        <v>0</v>
      </c>
    </row>
    <row r="102" spans="2:44">
      <c r="B102" s="387"/>
      <c r="C102" s="387"/>
      <c r="D102" s="386"/>
      <c r="E102" s="386"/>
      <c r="F102" s="386"/>
      <c r="G102" s="386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6"/>
      <c r="AE102" s="386"/>
      <c r="AF102" s="386"/>
      <c r="AG102" s="386"/>
      <c r="AH102" s="390"/>
      <c r="AI102" s="386"/>
      <c r="AJ102" s="390"/>
      <c r="AK102" s="386"/>
      <c r="AL102" s="386"/>
      <c r="AM102" s="386"/>
      <c r="AN102" s="407">
        <f t="shared" si="1"/>
        <v>0</v>
      </c>
      <c r="AO102" s="408">
        <f t="shared" si="2"/>
        <v>0</v>
      </c>
      <c r="AP102" s="408">
        <f t="shared" si="3"/>
        <v>0</v>
      </c>
      <c r="AQ102" s="408">
        <f t="shared" si="4"/>
        <v>0</v>
      </c>
      <c r="AR102" s="408">
        <f t="shared" si="5"/>
        <v>0</v>
      </c>
    </row>
    <row r="103" spans="2:44">
      <c r="B103" s="387"/>
      <c r="C103" s="387"/>
      <c r="D103" s="386"/>
      <c r="E103" s="386"/>
      <c r="F103" s="386"/>
      <c r="G103" s="386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6"/>
      <c r="AE103" s="386"/>
      <c r="AF103" s="386"/>
      <c r="AG103" s="386"/>
      <c r="AH103" s="390"/>
      <c r="AI103" s="386"/>
      <c r="AJ103" s="390"/>
      <c r="AK103" s="386"/>
      <c r="AL103" s="386"/>
      <c r="AM103" s="386"/>
      <c r="AN103" s="407">
        <f t="shared" si="1"/>
        <v>0</v>
      </c>
      <c r="AO103" s="408">
        <f t="shared" si="2"/>
        <v>0</v>
      </c>
      <c r="AP103" s="408">
        <f t="shared" si="3"/>
        <v>0</v>
      </c>
      <c r="AQ103" s="408">
        <f t="shared" si="4"/>
        <v>0</v>
      </c>
      <c r="AR103" s="408">
        <f t="shared" si="5"/>
        <v>0</v>
      </c>
    </row>
    <row r="104" spans="2:44">
      <c r="B104" s="387"/>
      <c r="C104" s="387"/>
      <c r="D104" s="386"/>
      <c r="E104" s="386"/>
      <c r="F104" s="386"/>
      <c r="G104" s="386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6"/>
      <c r="AE104" s="386"/>
      <c r="AF104" s="386"/>
      <c r="AG104" s="386"/>
      <c r="AH104" s="390"/>
      <c r="AI104" s="386"/>
      <c r="AJ104" s="390"/>
      <c r="AK104" s="386"/>
      <c r="AL104" s="386"/>
      <c r="AM104" s="386"/>
      <c r="AN104" s="407">
        <f t="shared" si="1"/>
        <v>0</v>
      </c>
      <c r="AO104" s="408">
        <f t="shared" si="2"/>
        <v>0</v>
      </c>
      <c r="AP104" s="408">
        <f t="shared" si="3"/>
        <v>0</v>
      </c>
      <c r="AQ104" s="408">
        <f t="shared" si="4"/>
        <v>0</v>
      </c>
      <c r="AR104" s="408">
        <f t="shared" si="5"/>
        <v>0</v>
      </c>
    </row>
    <row r="105" spans="2:44">
      <c r="B105" s="387"/>
      <c r="C105" s="387"/>
      <c r="D105" s="386"/>
      <c r="E105" s="386"/>
      <c r="F105" s="386"/>
      <c r="G105" s="386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6"/>
      <c r="AE105" s="386"/>
      <c r="AF105" s="386"/>
      <c r="AG105" s="386"/>
      <c r="AH105" s="390"/>
      <c r="AI105" s="386"/>
      <c r="AJ105" s="390"/>
      <c r="AK105" s="386"/>
      <c r="AL105" s="386"/>
      <c r="AM105" s="386"/>
      <c r="AN105" s="407">
        <f t="shared" si="1"/>
        <v>0</v>
      </c>
      <c r="AO105" s="408">
        <f t="shared" si="2"/>
        <v>0</v>
      </c>
      <c r="AP105" s="408">
        <f t="shared" si="3"/>
        <v>0</v>
      </c>
      <c r="AQ105" s="408">
        <f t="shared" si="4"/>
        <v>0</v>
      </c>
      <c r="AR105" s="408">
        <f t="shared" si="5"/>
        <v>0</v>
      </c>
    </row>
    <row r="106" spans="2:44">
      <c r="B106" s="387"/>
      <c r="C106" s="387"/>
      <c r="D106" s="386"/>
      <c r="E106" s="386"/>
      <c r="F106" s="386"/>
      <c r="G106" s="386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6"/>
      <c r="AE106" s="386"/>
      <c r="AF106" s="386"/>
      <c r="AG106" s="386"/>
      <c r="AH106" s="390"/>
      <c r="AI106" s="386"/>
      <c r="AJ106" s="390"/>
      <c r="AK106" s="386"/>
      <c r="AL106" s="386"/>
      <c r="AM106" s="386"/>
      <c r="AN106" s="407">
        <f t="shared" si="1"/>
        <v>0</v>
      </c>
      <c r="AO106" s="408">
        <f t="shared" si="2"/>
        <v>0</v>
      </c>
      <c r="AP106" s="408">
        <f t="shared" si="3"/>
        <v>0</v>
      </c>
      <c r="AQ106" s="408">
        <f t="shared" si="4"/>
        <v>0</v>
      </c>
      <c r="AR106" s="408">
        <f t="shared" si="5"/>
        <v>0</v>
      </c>
    </row>
    <row r="107" spans="2:44">
      <c r="B107" s="387"/>
      <c r="C107" s="387"/>
      <c r="D107" s="386"/>
      <c r="E107" s="386"/>
      <c r="F107" s="386"/>
      <c r="G107" s="386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6"/>
      <c r="AE107" s="386"/>
      <c r="AF107" s="386"/>
      <c r="AG107" s="386"/>
      <c r="AH107" s="390"/>
      <c r="AI107" s="386"/>
      <c r="AJ107" s="390"/>
      <c r="AK107" s="386"/>
      <c r="AL107" s="386"/>
      <c r="AM107" s="386"/>
      <c r="AN107" s="407">
        <f t="shared" si="1"/>
        <v>0</v>
      </c>
      <c r="AO107" s="408">
        <f t="shared" si="2"/>
        <v>0</v>
      </c>
      <c r="AP107" s="408">
        <f t="shared" si="3"/>
        <v>0</v>
      </c>
      <c r="AQ107" s="408">
        <f t="shared" si="4"/>
        <v>0</v>
      </c>
      <c r="AR107" s="408">
        <f t="shared" si="5"/>
        <v>0</v>
      </c>
    </row>
    <row r="108" spans="2:44">
      <c r="B108" s="387"/>
      <c r="C108" s="387"/>
      <c r="D108" s="386"/>
      <c r="E108" s="386"/>
      <c r="F108" s="386"/>
      <c r="G108" s="386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6"/>
      <c r="AE108" s="386"/>
      <c r="AF108" s="386"/>
      <c r="AG108" s="386"/>
      <c r="AH108" s="390"/>
      <c r="AI108" s="386"/>
      <c r="AJ108" s="390"/>
      <c r="AK108" s="386"/>
      <c r="AL108" s="386"/>
      <c r="AM108" s="386"/>
      <c r="AN108" s="407">
        <f t="shared" si="1"/>
        <v>0</v>
      </c>
      <c r="AO108" s="408">
        <f t="shared" si="2"/>
        <v>0</v>
      </c>
      <c r="AP108" s="408">
        <f t="shared" si="3"/>
        <v>0</v>
      </c>
      <c r="AQ108" s="408">
        <f t="shared" si="4"/>
        <v>0</v>
      </c>
      <c r="AR108" s="408">
        <f t="shared" si="5"/>
        <v>0</v>
      </c>
    </row>
    <row r="109" spans="2:44">
      <c r="B109" s="387"/>
      <c r="C109" s="387"/>
      <c r="D109" s="386"/>
      <c r="E109" s="386"/>
      <c r="F109" s="386"/>
      <c r="G109" s="386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6"/>
      <c r="AE109" s="386"/>
      <c r="AF109" s="386"/>
      <c r="AG109" s="386"/>
      <c r="AH109" s="390"/>
      <c r="AI109" s="386"/>
      <c r="AJ109" s="390"/>
      <c r="AK109" s="386"/>
      <c r="AL109" s="386"/>
      <c r="AM109" s="386"/>
      <c r="AN109" s="407">
        <f t="shared" si="1"/>
        <v>0</v>
      </c>
      <c r="AO109" s="408">
        <f t="shared" si="2"/>
        <v>0</v>
      </c>
      <c r="AP109" s="408">
        <f t="shared" si="3"/>
        <v>0</v>
      </c>
      <c r="AQ109" s="408">
        <f t="shared" si="4"/>
        <v>0</v>
      </c>
      <c r="AR109" s="408">
        <f t="shared" si="5"/>
        <v>0</v>
      </c>
    </row>
    <row r="110" spans="2:44">
      <c r="B110" s="387"/>
      <c r="C110" s="387"/>
      <c r="D110" s="386"/>
      <c r="E110" s="386"/>
      <c r="F110" s="386"/>
      <c r="G110" s="386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6"/>
      <c r="AE110" s="386"/>
      <c r="AF110" s="386"/>
      <c r="AG110" s="386"/>
      <c r="AH110" s="390"/>
      <c r="AI110" s="386"/>
      <c r="AJ110" s="390"/>
      <c r="AK110" s="386"/>
      <c r="AL110" s="386"/>
      <c r="AM110" s="386"/>
      <c r="AN110" s="407">
        <f t="shared" si="1"/>
        <v>0</v>
      </c>
      <c r="AO110" s="408">
        <f t="shared" si="2"/>
        <v>0</v>
      </c>
      <c r="AP110" s="408">
        <f t="shared" si="3"/>
        <v>0</v>
      </c>
      <c r="AQ110" s="408">
        <f t="shared" si="4"/>
        <v>0</v>
      </c>
      <c r="AR110" s="408">
        <f t="shared" si="5"/>
        <v>0</v>
      </c>
    </row>
    <row r="111" spans="2:44">
      <c r="B111" s="387"/>
      <c r="C111" s="387"/>
      <c r="D111" s="386"/>
      <c r="E111" s="386"/>
      <c r="F111" s="386"/>
      <c r="G111" s="386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6"/>
      <c r="AE111" s="386"/>
      <c r="AF111" s="386"/>
      <c r="AG111" s="386"/>
      <c r="AH111" s="390"/>
      <c r="AI111" s="386"/>
      <c r="AJ111" s="390"/>
      <c r="AK111" s="386"/>
      <c r="AL111" s="386"/>
      <c r="AM111" s="386"/>
      <c r="AN111" s="407">
        <f t="shared" si="1"/>
        <v>0</v>
      </c>
      <c r="AO111" s="408">
        <f t="shared" si="2"/>
        <v>0</v>
      </c>
      <c r="AP111" s="408">
        <f t="shared" si="3"/>
        <v>0</v>
      </c>
      <c r="AQ111" s="408">
        <f t="shared" si="4"/>
        <v>0</v>
      </c>
      <c r="AR111" s="408">
        <f t="shared" si="5"/>
        <v>0</v>
      </c>
    </row>
    <row r="112" spans="2:44">
      <c r="B112" s="387"/>
      <c r="C112" s="387"/>
      <c r="D112" s="386"/>
      <c r="E112" s="386"/>
      <c r="F112" s="386"/>
      <c r="G112" s="386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6"/>
      <c r="AE112" s="386"/>
      <c r="AF112" s="386"/>
      <c r="AG112" s="386"/>
      <c r="AH112" s="390"/>
      <c r="AI112" s="386"/>
      <c r="AJ112" s="390"/>
      <c r="AK112" s="386"/>
      <c r="AL112" s="386"/>
      <c r="AM112" s="386"/>
      <c r="AN112" s="407">
        <f t="shared" si="1"/>
        <v>0</v>
      </c>
      <c r="AO112" s="408">
        <f t="shared" si="2"/>
        <v>0</v>
      </c>
      <c r="AP112" s="408">
        <f t="shared" si="3"/>
        <v>0</v>
      </c>
      <c r="AQ112" s="408">
        <f t="shared" si="4"/>
        <v>0</v>
      </c>
      <c r="AR112" s="408">
        <f t="shared" si="5"/>
        <v>0</v>
      </c>
    </row>
    <row r="113" spans="2:44">
      <c r="B113" s="387"/>
      <c r="C113" s="387"/>
      <c r="D113" s="386"/>
      <c r="E113" s="386"/>
      <c r="F113" s="386"/>
      <c r="G113" s="386"/>
      <c r="H113" s="386"/>
      <c r="I113" s="386"/>
      <c r="J113" s="386"/>
      <c r="K113" s="386"/>
      <c r="L113" s="386"/>
      <c r="M113" s="386"/>
      <c r="N113" s="386"/>
      <c r="O113" s="386"/>
      <c r="P113" s="386"/>
      <c r="Q113" s="386"/>
      <c r="R113" s="386"/>
      <c r="S113" s="386"/>
      <c r="T113" s="386"/>
      <c r="U113" s="386"/>
      <c r="V113" s="386"/>
      <c r="W113" s="386"/>
      <c r="X113" s="386"/>
      <c r="Y113" s="386"/>
      <c r="Z113" s="386"/>
      <c r="AA113" s="386"/>
      <c r="AB113" s="386"/>
      <c r="AC113" s="386"/>
      <c r="AD113" s="386"/>
      <c r="AE113" s="386"/>
      <c r="AF113" s="386"/>
      <c r="AG113" s="386"/>
      <c r="AH113" s="390"/>
      <c r="AI113" s="386"/>
      <c r="AJ113" s="390"/>
      <c r="AK113" s="386"/>
      <c r="AL113" s="386"/>
      <c r="AM113" s="386"/>
      <c r="AN113" s="407">
        <f t="shared" si="1"/>
        <v>0</v>
      </c>
      <c r="AO113" s="408">
        <f t="shared" si="2"/>
        <v>0</v>
      </c>
      <c r="AP113" s="408">
        <f t="shared" si="3"/>
        <v>0</v>
      </c>
      <c r="AQ113" s="408">
        <f t="shared" si="4"/>
        <v>0</v>
      </c>
      <c r="AR113" s="408">
        <f t="shared" si="5"/>
        <v>0</v>
      </c>
    </row>
    <row r="114" spans="2:44">
      <c r="B114" s="387"/>
      <c r="C114" s="387"/>
      <c r="D114" s="386"/>
      <c r="E114" s="386"/>
      <c r="F114" s="386"/>
      <c r="G114" s="386"/>
      <c r="H114" s="389"/>
      <c r="I114" s="389"/>
      <c r="J114" s="386"/>
      <c r="K114" s="386"/>
      <c r="L114" s="386"/>
      <c r="M114" s="386"/>
      <c r="N114" s="386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90"/>
      <c r="AI114" s="386"/>
      <c r="AJ114" s="390"/>
      <c r="AK114" s="386"/>
      <c r="AL114" s="386"/>
      <c r="AM114" s="386"/>
      <c r="AN114" s="407">
        <f t="shared" si="1"/>
        <v>0</v>
      </c>
      <c r="AO114" s="408">
        <f t="shared" si="2"/>
        <v>0</v>
      </c>
      <c r="AP114" s="408">
        <f t="shared" si="3"/>
        <v>0</v>
      </c>
      <c r="AQ114" s="408">
        <f t="shared" si="4"/>
        <v>0</v>
      </c>
      <c r="AR114" s="408">
        <f t="shared" si="5"/>
        <v>0</v>
      </c>
    </row>
    <row r="115" spans="2:44">
      <c r="B115" s="387"/>
      <c r="C115" s="387"/>
      <c r="D115" s="386"/>
      <c r="E115" s="386"/>
      <c r="F115" s="386"/>
      <c r="G115" s="386"/>
      <c r="H115" s="386"/>
      <c r="I115" s="386"/>
      <c r="J115" s="386"/>
      <c r="K115" s="386"/>
      <c r="L115" s="386"/>
      <c r="M115" s="386"/>
      <c r="N115" s="386"/>
      <c r="O115" s="386"/>
      <c r="P115" s="386"/>
      <c r="Q115" s="386"/>
      <c r="R115" s="386"/>
      <c r="S115" s="386"/>
      <c r="T115" s="386"/>
      <c r="U115" s="386"/>
      <c r="V115" s="386"/>
      <c r="W115" s="386"/>
      <c r="X115" s="386"/>
      <c r="Y115" s="386"/>
      <c r="Z115" s="386"/>
      <c r="AA115" s="386"/>
      <c r="AB115" s="386"/>
      <c r="AC115" s="386"/>
      <c r="AD115" s="386"/>
      <c r="AE115" s="386"/>
      <c r="AF115" s="386"/>
      <c r="AG115" s="386"/>
      <c r="AH115" s="390"/>
      <c r="AI115" s="386"/>
      <c r="AJ115" s="390"/>
      <c r="AK115" s="386"/>
      <c r="AL115" s="386"/>
      <c r="AM115" s="386"/>
      <c r="AN115" s="407">
        <f t="shared" si="1"/>
        <v>0</v>
      </c>
      <c r="AO115" s="408">
        <f t="shared" si="2"/>
        <v>0</v>
      </c>
      <c r="AP115" s="408">
        <f t="shared" si="3"/>
        <v>0</v>
      </c>
      <c r="AQ115" s="408">
        <f t="shared" si="4"/>
        <v>0</v>
      </c>
      <c r="AR115" s="408">
        <f t="shared" si="5"/>
        <v>0</v>
      </c>
    </row>
    <row r="116" spans="2:44">
      <c r="B116" s="387"/>
      <c r="C116" s="387"/>
      <c r="D116" s="386"/>
      <c r="E116" s="386"/>
      <c r="F116" s="386"/>
      <c r="G116" s="386"/>
      <c r="H116" s="386"/>
      <c r="I116" s="386"/>
      <c r="J116" s="386"/>
      <c r="K116" s="386"/>
      <c r="L116" s="386"/>
      <c r="M116" s="386"/>
      <c r="N116" s="386"/>
      <c r="O116" s="386"/>
      <c r="P116" s="386"/>
      <c r="Q116" s="386"/>
      <c r="R116" s="386"/>
      <c r="S116" s="386"/>
      <c r="T116" s="386"/>
      <c r="U116" s="386"/>
      <c r="V116" s="386"/>
      <c r="W116" s="386"/>
      <c r="X116" s="386"/>
      <c r="Y116" s="386"/>
      <c r="Z116" s="386"/>
      <c r="AA116" s="386"/>
      <c r="AB116" s="386"/>
      <c r="AC116" s="386"/>
      <c r="AD116" s="386"/>
      <c r="AE116" s="386"/>
      <c r="AF116" s="386"/>
      <c r="AG116" s="386"/>
      <c r="AH116" s="390"/>
      <c r="AI116" s="386"/>
      <c r="AJ116" s="390"/>
      <c r="AK116" s="386"/>
      <c r="AL116" s="386"/>
      <c r="AM116" s="386"/>
      <c r="AN116" s="407">
        <f t="shared" si="1"/>
        <v>0</v>
      </c>
      <c r="AO116" s="408">
        <f t="shared" si="2"/>
        <v>0</v>
      </c>
      <c r="AP116" s="408">
        <f t="shared" si="3"/>
        <v>0</v>
      </c>
      <c r="AQ116" s="408">
        <f t="shared" si="4"/>
        <v>0</v>
      </c>
      <c r="AR116" s="408">
        <f t="shared" si="5"/>
        <v>0</v>
      </c>
    </row>
    <row r="117" spans="2:44">
      <c r="B117" s="387"/>
      <c r="C117" s="387"/>
      <c r="D117" s="386"/>
      <c r="E117" s="386"/>
      <c r="F117" s="386"/>
      <c r="G117" s="386"/>
      <c r="H117" s="386"/>
      <c r="I117" s="386"/>
      <c r="J117" s="386"/>
      <c r="K117" s="386"/>
      <c r="L117" s="386"/>
      <c r="M117" s="386"/>
      <c r="N117" s="386"/>
      <c r="O117" s="386"/>
      <c r="P117" s="386"/>
      <c r="Q117" s="386"/>
      <c r="R117" s="386"/>
      <c r="S117" s="386"/>
      <c r="T117" s="386"/>
      <c r="U117" s="386"/>
      <c r="V117" s="386"/>
      <c r="W117" s="386"/>
      <c r="X117" s="386"/>
      <c r="Y117" s="386"/>
      <c r="Z117" s="386"/>
      <c r="AA117" s="386"/>
      <c r="AB117" s="386"/>
      <c r="AC117" s="386"/>
      <c r="AD117" s="386"/>
      <c r="AE117" s="386"/>
      <c r="AF117" s="386"/>
      <c r="AG117" s="386"/>
      <c r="AH117" s="390"/>
      <c r="AI117" s="386"/>
      <c r="AJ117" s="390"/>
      <c r="AK117" s="386"/>
      <c r="AL117" s="386"/>
      <c r="AM117" s="386"/>
      <c r="AN117" s="407">
        <f t="shared" si="1"/>
        <v>0</v>
      </c>
      <c r="AO117" s="408">
        <f t="shared" si="2"/>
        <v>0</v>
      </c>
      <c r="AP117" s="408">
        <f t="shared" si="3"/>
        <v>0</v>
      </c>
      <c r="AQ117" s="408">
        <f t="shared" si="4"/>
        <v>0</v>
      </c>
      <c r="AR117" s="408">
        <f t="shared" si="5"/>
        <v>0</v>
      </c>
    </row>
    <row r="118" spans="2:44">
      <c r="B118" s="387"/>
      <c r="C118" s="387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6"/>
      <c r="P118" s="386"/>
      <c r="Q118" s="386"/>
      <c r="R118" s="386"/>
      <c r="S118" s="386"/>
      <c r="T118" s="386"/>
      <c r="U118" s="386"/>
      <c r="V118" s="386"/>
      <c r="W118" s="386"/>
      <c r="X118" s="386"/>
      <c r="Y118" s="386"/>
      <c r="Z118" s="386"/>
      <c r="AA118" s="386"/>
      <c r="AB118" s="390"/>
      <c r="AC118" s="390"/>
      <c r="AD118" s="390"/>
      <c r="AE118" s="390"/>
      <c r="AF118" s="390"/>
      <c r="AG118" s="390"/>
      <c r="AH118" s="390"/>
      <c r="AI118" s="390"/>
      <c r="AJ118" s="390"/>
      <c r="AK118" s="390"/>
      <c r="AL118" s="390"/>
      <c r="AM118" s="390"/>
      <c r="AN118" s="407">
        <f t="shared" si="1"/>
        <v>0</v>
      </c>
      <c r="AO118" s="408">
        <f t="shared" si="2"/>
        <v>0</v>
      </c>
      <c r="AP118" s="408">
        <f t="shared" si="3"/>
        <v>0</v>
      </c>
      <c r="AQ118" s="408">
        <f t="shared" si="4"/>
        <v>0</v>
      </c>
      <c r="AR118" s="408">
        <f t="shared" si="5"/>
        <v>0</v>
      </c>
    </row>
    <row r="119" spans="2:44">
      <c r="B119" s="387"/>
      <c r="C119" s="387"/>
      <c r="D119" s="386"/>
      <c r="E119" s="386"/>
      <c r="F119" s="386"/>
      <c r="G119" s="386"/>
      <c r="H119" s="386"/>
      <c r="I119" s="386"/>
      <c r="J119" s="386"/>
      <c r="K119" s="386"/>
      <c r="L119" s="386"/>
      <c r="M119" s="386"/>
      <c r="N119" s="386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90"/>
      <c r="AI119" s="386"/>
      <c r="AJ119" s="390"/>
      <c r="AK119" s="386"/>
      <c r="AL119" s="386"/>
      <c r="AM119" s="386"/>
      <c r="AN119" s="407">
        <f t="shared" si="1"/>
        <v>0</v>
      </c>
      <c r="AO119" s="408">
        <f t="shared" si="2"/>
        <v>0</v>
      </c>
      <c r="AP119" s="408">
        <f t="shared" si="3"/>
        <v>0</v>
      </c>
      <c r="AQ119" s="408">
        <f t="shared" si="4"/>
        <v>0</v>
      </c>
      <c r="AR119" s="408">
        <f t="shared" si="5"/>
        <v>0</v>
      </c>
    </row>
    <row r="120" spans="2:44">
      <c r="B120" s="387"/>
      <c r="C120" s="387"/>
      <c r="D120" s="386"/>
      <c r="E120" s="386"/>
      <c r="F120" s="386"/>
      <c r="G120" s="386"/>
      <c r="H120" s="386"/>
      <c r="I120" s="386"/>
      <c r="J120" s="386"/>
      <c r="K120" s="386"/>
      <c r="L120" s="386"/>
      <c r="M120" s="386"/>
      <c r="N120" s="386"/>
      <c r="O120" s="386"/>
      <c r="P120" s="386"/>
      <c r="Q120" s="386"/>
      <c r="R120" s="386"/>
      <c r="S120" s="386"/>
      <c r="T120" s="386"/>
      <c r="U120" s="386"/>
      <c r="V120" s="386"/>
      <c r="W120" s="386"/>
      <c r="X120" s="386"/>
      <c r="Y120" s="386"/>
      <c r="Z120" s="386"/>
      <c r="AA120" s="386"/>
      <c r="AB120" s="386"/>
      <c r="AC120" s="386"/>
      <c r="AD120" s="386"/>
      <c r="AE120" s="386"/>
      <c r="AF120" s="386"/>
      <c r="AG120" s="386"/>
      <c r="AH120" s="390"/>
      <c r="AI120" s="386"/>
      <c r="AJ120" s="390"/>
      <c r="AK120" s="386"/>
      <c r="AL120" s="386"/>
      <c r="AM120" s="386"/>
      <c r="AN120" s="407">
        <f t="shared" si="1"/>
        <v>0</v>
      </c>
      <c r="AO120" s="408">
        <f t="shared" si="2"/>
        <v>0</v>
      </c>
      <c r="AP120" s="408">
        <f t="shared" si="3"/>
        <v>0</v>
      </c>
      <c r="AQ120" s="408">
        <f t="shared" si="4"/>
        <v>0</v>
      </c>
      <c r="AR120" s="408">
        <f t="shared" si="5"/>
        <v>0</v>
      </c>
    </row>
    <row r="121" spans="2:44">
      <c r="B121" s="570"/>
      <c r="C121" s="392"/>
      <c r="D121" s="391"/>
      <c r="E121" s="391"/>
      <c r="F121" s="391"/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  <c r="W121" s="391"/>
      <c r="X121" s="391"/>
      <c r="Y121" s="391"/>
      <c r="Z121" s="391"/>
      <c r="AA121" s="391"/>
      <c r="AB121" s="391"/>
      <c r="AC121" s="391"/>
      <c r="AD121" s="391"/>
      <c r="AE121" s="391"/>
      <c r="AF121" s="391"/>
      <c r="AG121" s="391"/>
      <c r="AH121" s="393"/>
      <c r="AI121" s="391"/>
      <c r="AJ121" s="393"/>
      <c r="AK121" s="391"/>
      <c r="AL121" s="391"/>
      <c r="AM121" s="391"/>
      <c r="AN121" s="407">
        <f t="shared" si="1"/>
        <v>0</v>
      </c>
      <c r="AO121" s="409">
        <f t="shared" si="2"/>
        <v>0</v>
      </c>
      <c r="AP121" s="409">
        <f t="shared" si="3"/>
        <v>0</v>
      </c>
      <c r="AQ121" s="409">
        <f t="shared" si="4"/>
        <v>0</v>
      </c>
      <c r="AR121" s="409">
        <f t="shared" si="5"/>
        <v>0</v>
      </c>
    </row>
    <row r="122" spans="2:44">
      <c r="B122" s="394" t="s">
        <v>25</v>
      </c>
      <c r="C122" s="395"/>
      <c r="D122" s="396"/>
      <c r="E122" s="397"/>
      <c r="F122" s="398"/>
      <c r="G122" s="398"/>
      <c r="H122" s="398"/>
      <c r="I122" s="398"/>
      <c r="J122" s="398"/>
      <c r="K122" s="398"/>
      <c r="L122" s="398"/>
      <c r="M122" s="398"/>
      <c r="N122" s="398"/>
      <c r="O122" s="399"/>
      <c r="P122" s="400"/>
      <c r="Q122" s="398"/>
      <c r="R122" s="398"/>
      <c r="S122" s="398"/>
      <c r="T122" s="398"/>
      <c r="U122" s="398"/>
      <c r="V122" s="398"/>
      <c r="W122" s="398"/>
      <c r="X122" s="398"/>
      <c r="Y122" s="398"/>
      <c r="Z122" s="398"/>
      <c r="AA122" s="399"/>
      <c r="AB122" s="400"/>
      <c r="AC122" s="398"/>
      <c r="AD122" s="398"/>
      <c r="AE122" s="398"/>
      <c r="AF122" s="398"/>
      <c r="AG122" s="398"/>
      <c r="AH122" s="398"/>
      <c r="AI122" s="398"/>
      <c r="AJ122" s="398"/>
      <c r="AK122" s="398"/>
      <c r="AL122" s="398"/>
      <c r="AM122" s="399"/>
      <c r="AN122" s="410">
        <f>SUM(AN15:AN121)</f>
        <v>134.31</v>
      </c>
      <c r="AO122" s="410">
        <f>SUM(AO15:AO121)</f>
        <v>1.65</v>
      </c>
      <c r="AP122" s="410">
        <f>SUM(AP15:AP121)</f>
        <v>38.6</v>
      </c>
      <c r="AQ122" s="410">
        <f>SUM(AQ15:AQ121)</f>
        <v>63.05</v>
      </c>
      <c r="AR122" s="410">
        <f t="shared" ref="AR122" si="30">SUM(AR15:AR121)</f>
        <v>31.009999999999998</v>
      </c>
    </row>
    <row r="123" spans="2:44">
      <c r="D123" s="401">
        <f>SUM(D122:O122)</f>
        <v>0</v>
      </c>
      <c r="E123" s="401"/>
      <c r="F123" s="401"/>
      <c r="G123" s="401"/>
      <c r="H123" s="401"/>
      <c r="I123" s="401"/>
      <c r="J123" s="401"/>
      <c r="K123" s="401"/>
      <c r="L123" s="401"/>
      <c r="M123" s="401"/>
      <c r="N123" s="401"/>
      <c r="O123" s="401"/>
      <c r="P123" s="401">
        <f>SUM(P122:AA122)</f>
        <v>0</v>
      </c>
      <c r="Q123" s="401"/>
      <c r="R123" s="401"/>
      <c r="S123" s="401"/>
      <c r="T123" s="401"/>
      <c r="U123" s="401"/>
      <c r="V123" s="401"/>
      <c r="W123" s="401"/>
      <c r="X123" s="401"/>
      <c r="Y123" s="401"/>
      <c r="Z123" s="401"/>
      <c r="AA123" s="401"/>
      <c r="AB123" s="401">
        <f>SUM(AB122:AM122)</f>
        <v>0</v>
      </c>
      <c r="AC123" s="401"/>
      <c r="AD123" s="401"/>
      <c r="AE123" s="401"/>
      <c r="AF123" s="401"/>
      <c r="AG123" s="401"/>
      <c r="AH123" s="401"/>
      <c r="AI123" s="401"/>
      <c r="AJ123" s="401"/>
      <c r="AK123" s="401"/>
      <c r="AL123" s="401"/>
      <c r="AM123" s="401"/>
    </row>
  </sheetData>
  <sheetProtection selectLockedCells="1" selectUnlockedCells="1"/>
  <protectedRanges>
    <protectedRange algorithmName="SHA-512" hashValue="or8rJyV8C19aAZja0PXuLkBVsWLT3O+tG8eDpuGLvGMddn/1KYrp7Zk66KjEbcpGYA2NYmvhgrCyVqL1ZnIn4w==" saltValue="duC3ZIQItNkZZnHqUWyyFw==" spinCount="100000" sqref="D13:AM14" name="DAPI_1"/>
  </protectedRanges>
  <autoFilter ref="A14:AQ120"/>
  <mergeCells count="5">
    <mergeCell ref="AP13:AP14"/>
    <mergeCell ref="AQ13:AQ14"/>
    <mergeCell ref="AR13:AR14"/>
    <mergeCell ref="AN13:AN14"/>
    <mergeCell ref="AO13:AO14"/>
  </mergeCells>
  <phoneticPr fontId="3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>
          <x14:formula1>
            <xm:f>ATIVIDADES!$C$18:$C$28</xm:f>
          </x14:formula1>
          <xm:sqref>C15:C121</xm:sqref>
        </x14:dataValidation>
        <x14:dataValidation type="list" allowBlank="1" showInputMessage="1" showErrorMessage="1">
          <x14:formula1>
            <xm:f>RH_EQUIPA!$C$19:$C$41</xm:f>
          </x14:formula1>
          <xm:sqref>B31:B49</xm:sqref>
        </x14:dataValidation>
        <x14:dataValidation type="list" allowBlank="1" showInputMessage="1" showErrorMessage="1">
          <x14:formula1>
            <xm:f>'Valores bolsas e 57_2016'!$A$42:$A$60</xm:f>
          </x14:formula1>
          <xm:sqref>B15:B30 B50:B121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1:T97"/>
  <sheetViews>
    <sheetView showGridLines="0" zoomScale="80" zoomScaleNormal="80" workbookViewId="0">
      <selection activeCell="I34" sqref="I34"/>
    </sheetView>
  </sheetViews>
  <sheetFormatPr defaultColWidth="8.7265625" defaultRowHeight="13"/>
  <cols>
    <col min="1" max="1" width="8.7265625" style="412"/>
    <col min="2" max="2" width="26" style="412" customWidth="1"/>
    <col min="3" max="3" width="16.1796875" style="412" customWidth="1"/>
    <col min="4" max="4" width="17" style="412" customWidth="1"/>
    <col min="5" max="5" width="16.453125" style="412" customWidth="1"/>
    <col min="6" max="6" width="14.453125" style="412" customWidth="1"/>
    <col min="7" max="7" width="17.54296875" style="412" customWidth="1"/>
    <col min="8" max="8" width="17.453125" style="412" customWidth="1"/>
    <col min="9" max="9" width="29.1796875" style="412" customWidth="1"/>
    <col min="10" max="10" width="13.1796875" style="412" customWidth="1"/>
    <col min="11" max="11" width="11" style="412" customWidth="1"/>
    <col min="12" max="12" width="9.453125" style="412" bestFit="1" customWidth="1"/>
    <col min="13" max="13" width="12.1796875" style="412" customWidth="1"/>
    <col min="14" max="14" width="18.453125" style="412" customWidth="1"/>
    <col min="15" max="15" width="15.1796875" style="412" customWidth="1"/>
    <col min="16" max="18" width="9.1796875" style="412" bestFit="1" customWidth="1"/>
    <col min="19" max="20" width="8.81640625" style="412" bestFit="1" customWidth="1"/>
    <col min="21" max="21" width="9.1796875" style="412" bestFit="1" customWidth="1"/>
    <col min="22" max="22" width="8.26953125" style="412" bestFit="1" customWidth="1"/>
    <col min="23" max="23" width="9.453125" style="412" bestFit="1" customWidth="1"/>
    <col min="24" max="24" width="8.81640625" style="412" bestFit="1" customWidth="1"/>
    <col min="25" max="25" width="9.1796875" style="412" bestFit="1" customWidth="1"/>
    <col min="26" max="27" width="9.26953125" style="412" bestFit="1" customWidth="1"/>
    <col min="28" max="30" width="9.1796875" style="412" bestFit="1" customWidth="1"/>
    <col min="31" max="32" width="8.81640625" style="412" bestFit="1" customWidth="1"/>
    <col min="33" max="33" width="9.1796875" style="412" bestFit="1" customWidth="1"/>
    <col min="34" max="34" width="8.26953125" style="412" bestFit="1" customWidth="1"/>
    <col min="35" max="35" width="9.453125" style="412" bestFit="1" customWidth="1"/>
    <col min="36" max="36" width="8.81640625" style="412" bestFit="1" customWidth="1"/>
    <col min="37" max="37" width="9.1796875" style="412" bestFit="1" customWidth="1"/>
    <col min="38" max="39" width="9.26953125" style="412" bestFit="1" customWidth="1"/>
    <col min="40" max="40" width="7.1796875" style="412" customWidth="1"/>
    <col min="41" max="16384" width="8.7265625" style="412"/>
  </cols>
  <sheetData>
    <row r="11" spans="2:10" ht="33.5">
      <c r="B11" s="411" t="s">
        <v>211</v>
      </c>
      <c r="J11" s="413" t="s">
        <v>208</v>
      </c>
    </row>
    <row r="14" spans="2:10" ht="15.5">
      <c r="B14" s="414" t="s">
        <v>204</v>
      </c>
      <c r="C14" s="414"/>
      <c r="D14" s="415">
        <v>4320</v>
      </c>
    </row>
    <row r="15" spans="2:10" ht="13.5" thickBot="1"/>
    <row r="16" spans="2:10" ht="18.5">
      <c r="C16" s="755" t="s">
        <v>205</v>
      </c>
      <c r="D16" s="756"/>
      <c r="E16" s="756"/>
      <c r="F16" s="756"/>
      <c r="G16" s="757"/>
    </row>
    <row r="17" spans="2:9" ht="37">
      <c r="B17" s="416" t="s">
        <v>27</v>
      </c>
      <c r="C17" s="417">
        <f>RH_ETI_Atividade!AO13</f>
        <v>2026</v>
      </c>
      <c r="D17" s="417">
        <f>RH_ETI_Atividade!AP13</f>
        <v>2027</v>
      </c>
      <c r="E17" s="417">
        <f>RH_ETI_Atividade!AQ13</f>
        <v>2028</v>
      </c>
      <c r="F17" s="417">
        <f>RH_ETI_Atividade!AR13</f>
        <v>2029</v>
      </c>
      <c r="G17" s="419" t="s">
        <v>25</v>
      </c>
      <c r="H17" s="420" t="s">
        <v>203</v>
      </c>
      <c r="I17" s="416" t="s">
        <v>206</v>
      </c>
    </row>
    <row r="18" spans="2:9">
      <c r="B18" s="421" t="str">
        <f>ATIVIDADES!C18</f>
        <v>A1</v>
      </c>
      <c r="C18" s="422">
        <f>SUMIF(RH_ETI_Atividade!$C$15:$C$121,B18,RH_ETI_Atividade!$AO$15:$AO$121)</f>
        <v>1.65</v>
      </c>
      <c r="D18" s="423">
        <f>SUMIF(RH_ETI_Atividade!$C$15:$C$121,B18,RH_ETI_Atividade!$AP$15:$AP$121)</f>
        <v>1.6</v>
      </c>
      <c r="E18" s="423">
        <f>SUMIF(RH_ETI_Atividade!$C$15:$C$121,B18,RH_ETI_Atividade!$AQ$15:$AQ$121)</f>
        <v>1.5</v>
      </c>
      <c r="F18" s="423">
        <f>SUMIF(RH_ETI_Atividade!$C$15:$C$121,B18,RH_ETI_Atividade!$AR$15:$AR$121)</f>
        <v>2</v>
      </c>
      <c r="G18" s="424">
        <f>SUM(C18:F18)</f>
        <v>6.75</v>
      </c>
      <c r="H18" s="425">
        <f>+G18*$D$14</f>
        <v>29160</v>
      </c>
      <c r="I18" s="421" t="str">
        <f>IF(ATIVIDADES!D18&gt;0,VLOOKUP(B18,ATIVIDADES!C17:H28,6,FALSE),"")</f>
        <v>Gestão Projeto</v>
      </c>
    </row>
    <row r="19" spans="2:9">
      <c r="B19" s="426" t="str">
        <f>ATIVIDADES!C19</f>
        <v>A2</v>
      </c>
      <c r="C19" s="427">
        <f>SUMIF(RH_ETI_Atividade!$C$15:$C$121,B19,RH_ETI_Atividade!$AO$15:$AO$121)</f>
        <v>0</v>
      </c>
      <c r="D19" s="428">
        <f>SUMIF(RH_ETI_Atividade!$C$15:$C$121,B19,RH_ETI_Atividade!$AP$15:$AP$121)</f>
        <v>14</v>
      </c>
      <c r="E19" s="428">
        <f>SUMIF(RH_ETI_Atividade!$C$15:$C$121,B19,RH_ETI_Atividade!$AQ$15:$AQ$121)</f>
        <v>12.8</v>
      </c>
      <c r="F19" s="428">
        <f>SUMIF(RH_ETI_Atividade!$C$15:$C$121,B19,RH_ETI_Atividade!$AR$15:$AR$121)</f>
        <v>0</v>
      </c>
      <c r="G19" s="429">
        <f t="shared" ref="G19:G28" si="0">SUM(C19:F19)</f>
        <v>26.8</v>
      </c>
      <c r="H19" s="430">
        <f>+G19*$D$14</f>
        <v>115776</v>
      </c>
      <c r="I19" s="426" t="str">
        <f>IF(ATIVIDADES!D19&gt;0,VLOOKUP(B19,ATIVIDADES!C18:H29,6,FALSE),"")</f>
        <v>Desenvolvimento Experimental</v>
      </c>
    </row>
    <row r="20" spans="2:9">
      <c r="B20" s="426" t="str">
        <f>ATIVIDADES!C20</f>
        <v>A3</v>
      </c>
      <c r="C20" s="427">
        <f>SUMIF(RH_ETI_Atividade!$C$15:$C$121,B20,RH_ETI_Atividade!$AO$15:$AO$121)</f>
        <v>0</v>
      </c>
      <c r="D20" s="428">
        <f>SUMIF(RH_ETI_Atividade!$C$15:$C$121,B20,RH_ETI_Atividade!$AP$15:$AP$121)</f>
        <v>15</v>
      </c>
      <c r="E20" s="428">
        <f>SUMIF(RH_ETI_Atividade!$C$15:$C$121,B20,RH_ETI_Atividade!$AQ$15:$AQ$121)</f>
        <v>10.5</v>
      </c>
      <c r="F20" s="428">
        <f>SUMIF(RH_ETI_Atividade!$C$15:$C$121,B20,RH_ETI_Atividade!$AR$15:$AR$121)</f>
        <v>1</v>
      </c>
      <c r="G20" s="429">
        <f>SUM(C20:F20)</f>
        <v>26.5</v>
      </c>
      <c r="H20" s="430">
        <f>+G20*$D$14</f>
        <v>114480</v>
      </c>
      <c r="I20" s="426" t="str">
        <f>IF(ATIVIDADES!D20&gt;0,VLOOKUP(B20,ATIVIDADES!C19:H30,6,FALSE),"")</f>
        <v>Desenvolvimento Experimental</v>
      </c>
    </row>
    <row r="21" spans="2:9">
      <c r="B21" s="426" t="str">
        <f>ATIVIDADES!C21</f>
        <v>A4</v>
      </c>
      <c r="C21" s="427">
        <f>SUMIF(RH_ETI_Atividade!$C$15:$C$121,B21,RH_ETI_Atividade!$AO$15:$AO$121)</f>
        <v>0</v>
      </c>
      <c r="D21" s="428">
        <f>SUMIF(RH_ETI_Atividade!$C$15:$C$121,B21,RH_ETI_Atividade!$AP$15:$AP$121)</f>
        <v>8</v>
      </c>
      <c r="E21" s="428">
        <f>SUMIF(RH_ETI_Atividade!$C$15:$C$121,B21,RH_ETI_Atividade!$AQ$15:$AQ$121)</f>
        <v>5</v>
      </c>
      <c r="F21" s="428">
        <f>SUMIF(RH_ETI_Atividade!$C$15:$C$121,B21,RH_ETI_Atividade!$AR$15:$AR$121)</f>
        <v>0.5</v>
      </c>
      <c r="G21" s="429">
        <f t="shared" si="0"/>
        <v>13.5</v>
      </c>
      <c r="H21" s="430">
        <f t="shared" ref="H21:H28" si="1">+G21*$D$14</f>
        <v>58320</v>
      </c>
      <c r="I21" s="426" t="s">
        <v>278</v>
      </c>
    </row>
    <row r="22" spans="2:9">
      <c r="B22" s="426" t="str">
        <f>ATIVIDADES!C22</f>
        <v>A5</v>
      </c>
      <c r="C22" s="427">
        <f>SUMIF(RH_ETI_Atividade!$C$15:$C$121,B22,RH_ETI_Atividade!$AO$15:$AO$121)</f>
        <v>0</v>
      </c>
      <c r="D22" s="428">
        <f>SUMIF(RH_ETI_Atividade!$C$15:$C$121,B22,RH_ETI_Atividade!$AP$15:$AP$121)</f>
        <v>0</v>
      </c>
      <c r="E22" s="428">
        <f>SUMIF(RH_ETI_Atividade!$C$15:$C$121,B22,RH_ETI_Atividade!$AQ$15:$AQ$121)</f>
        <v>20.25</v>
      </c>
      <c r="F22" s="428">
        <f>SUMIF(RH_ETI_Atividade!$C$15:$C$121,B22,RH_ETI_Atividade!$AR$15:$AR$121)</f>
        <v>14.059999999999999</v>
      </c>
      <c r="G22" s="429">
        <f>SUM(C22:F22)</f>
        <v>34.31</v>
      </c>
      <c r="H22" s="430">
        <f>+G22*$D$14</f>
        <v>148219.20000000001</v>
      </c>
      <c r="I22" s="426" t="str">
        <f>IF(ATIVIDADES!D22&gt;0,VLOOKUP(B22,ATIVIDADES!C21:H32,6,FALSE),"")</f>
        <v>Desenvolvimento Experimental</v>
      </c>
    </row>
    <row r="23" spans="2:9">
      <c r="B23" s="426" t="str">
        <f>ATIVIDADES!C23</f>
        <v>A6</v>
      </c>
      <c r="C23" s="427">
        <f>SUMIF(RH_ETI_Atividade!$C$15:$C$121,B23,RH_ETI_Atividade!$AO$15:$AO$121)</f>
        <v>0</v>
      </c>
      <c r="D23" s="428">
        <f>SUMIF(RH_ETI_Atividade!$C$15:$C$121,B23,RH_ETI_Atividade!$AP$15:$AP$121)</f>
        <v>0</v>
      </c>
      <c r="E23" s="428">
        <f>SUMIF(RH_ETI_Atividade!$C$15:$C$121,B23,RH_ETI_Atividade!$AQ$15:$AQ$121)</f>
        <v>13</v>
      </c>
      <c r="F23" s="428">
        <f>SUMIF(RH_ETI_Atividade!$C$15:$C$121,B23,RH_ETI_Atividade!$AR$15:$AR$121)</f>
        <v>13.45</v>
      </c>
      <c r="G23" s="429">
        <f t="shared" si="0"/>
        <v>26.45</v>
      </c>
      <c r="H23" s="430">
        <f>+G23*$D$14</f>
        <v>114264</v>
      </c>
      <c r="I23" s="426" t="str">
        <f>IF(ATIVIDADES!D23&gt;0,VLOOKUP(B23,ATIVIDADES!C22:H33,6,FALSE),"")</f>
        <v>Divulgação e Promoção</v>
      </c>
    </row>
    <row r="24" spans="2:9">
      <c r="B24" s="426" t="str">
        <f>ATIVIDADES!C24</f>
        <v>A7</v>
      </c>
      <c r="C24" s="427">
        <f>SUMIF(RH_ETI_Atividade!$C$15:$C$121,B24,RH_ETI_Atividade!$AO$15:$AO$121)</f>
        <v>0</v>
      </c>
      <c r="D24" s="428">
        <f>SUMIF(RH_ETI_Atividade!$C$15:$C$121,B24,RH_ETI_Atividade!$AP$15:$AP$121)</f>
        <v>0</v>
      </c>
      <c r="E24" s="428">
        <f>SUMIF(RH_ETI_Atividade!$C$15:$C$121,B24,RH_ETI_Atividade!$AQ$15:$AQ$121)</f>
        <v>0</v>
      </c>
      <c r="F24" s="428">
        <f>SUMIF(RH_ETI_Atividade!$C$15:$C$121,B24,RH_ETI_Atividade!$AR$15:$AR$121)</f>
        <v>0</v>
      </c>
      <c r="G24" s="429">
        <f t="shared" si="0"/>
        <v>0</v>
      </c>
      <c r="H24" s="430">
        <f t="shared" si="1"/>
        <v>0</v>
      </c>
      <c r="I24" s="426" t="str">
        <f>IF(ATIVIDADES!D24&gt;0,VLOOKUP(B24,ATIVIDADES!C23:H34,6,FALSE),"")</f>
        <v/>
      </c>
    </row>
    <row r="25" spans="2:9">
      <c r="B25" s="426" t="str">
        <f>ATIVIDADES!C25</f>
        <v>A8</v>
      </c>
      <c r="C25" s="427">
        <f>SUMIF(RH_ETI_Atividade!$C$15:$C$121,B25,RH_ETI_Atividade!$AO$15:$AO$121)</f>
        <v>0</v>
      </c>
      <c r="D25" s="428">
        <f>SUMIF(RH_ETI_Atividade!$C$15:$C$121,B25,RH_ETI_Atividade!$AP$15:$AP$121)</f>
        <v>0</v>
      </c>
      <c r="E25" s="428">
        <f>SUMIF(RH_ETI_Atividade!$C$15:$C$121,B25,RH_ETI_Atividade!$AQ$15:$AQ$121)</f>
        <v>0</v>
      </c>
      <c r="F25" s="428">
        <f>SUMIF(RH_ETI_Atividade!$C$15:$C$121,B25,RH_ETI_Atividade!$AR$15:$AR$121)</f>
        <v>0</v>
      </c>
      <c r="G25" s="429">
        <f t="shared" si="0"/>
        <v>0</v>
      </c>
      <c r="H25" s="430">
        <f t="shared" si="1"/>
        <v>0</v>
      </c>
      <c r="I25" s="426" t="str">
        <f>IF(ATIVIDADES!D25&gt;0,VLOOKUP(B25,ATIVIDADES!C24:H35,6,FALSE),"")</f>
        <v/>
      </c>
    </row>
    <row r="26" spans="2:9">
      <c r="B26" s="426" t="str">
        <f>ATIVIDADES!C26</f>
        <v>A9</v>
      </c>
      <c r="C26" s="427">
        <f>SUMIF(RH_ETI_Atividade!$C$15:$C$121,B26,RH_ETI_Atividade!$AO$15:$AO$121)</f>
        <v>0</v>
      </c>
      <c r="D26" s="428">
        <f>SUMIF(RH_ETI_Atividade!$C$15:$C$121,B26,RH_ETI_Atividade!$AP$15:$AP$121)</f>
        <v>0</v>
      </c>
      <c r="E26" s="428">
        <f>SUMIF(RH_ETI_Atividade!$C$15:$C$121,B26,RH_ETI_Atividade!$AQ$15:$AQ$121)</f>
        <v>0</v>
      </c>
      <c r="F26" s="428">
        <f>SUMIF(RH_ETI_Atividade!$C$15:$C$121,B26,RH_ETI_Atividade!$AR$15:$AR$121)</f>
        <v>0</v>
      </c>
      <c r="G26" s="429">
        <f t="shared" si="0"/>
        <v>0</v>
      </c>
      <c r="H26" s="430">
        <f t="shared" si="1"/>
        <v>0</v>
      </c>
      <c r="I26" s="426" t="str">
        <f>IF(ATIVIDADES!D26&gt;0,VLOOKUP(B26,ATIVIDADES!C25:H36,6,FALSE),"")</f>
        <v/>
      </c>
    </row>
    <row r="27" spans="2:9">
      <c r="B27" s="426" t="str">
        <f>ATIVIDADES!C27</f>
        <v>A10</v>
      </c>
      <c r="C27" s="427">
        <f>SUMIF(RH_ETI_Atividade!$C$15:$C$121,B27,RH_ETI_Atividade!$AO$15:$AO$121)</f>
        <v>0</v>
      </c>
      <c r="D27" s="428">
        <f>SUMIF(RH_ETI_Atividade!$C$15:$C$121,B27,RH_ETI_Atividade!$AP$15:$AP$121)</f>
        <v>0</v>
      </c>
      <c r="E27" s="428">
        <f>SUMIF(RH_ETI_Atividade!$C$15:$C$121,B27,RH_ETI_Atividade!$AQ$15:$AQ$121)</f>
        <v>0</v>
      </c>
      <c r="F27" s="428">
        <f>SUMIF(RH_ETI_Atividade!$C$15:$C$121,B27,RH_ETI_Atividade!$AR$15:$AR$121)</f>
        <v>0</v>
      </c>
      <c r="G27" s="429">
        <f t="shared" si="0"/>
        <v>0</v>
      </c>
      <c r="H27" s="430">
        <f t="shared" si="1"/>
        <v>0</v>
      </c>
      <c r="I27" s="426" t="str">
        <f>IF(ATIVIDADES!D27&gt;0,VLOOKUP(B27,ATIVIDADES!C26:H37,6,FALSE),"")</f>
        <v/>
      </c>
    </row>
    <row r="28" spans="2:9">
      <c r="B28" s="421" t="str">
        <f>ATIVIDADES!C28</f>
        <v>A11</v>
      </c>
      <c r="C28" s="422">
        <f>SUMIF(RH_ETI_Atividade!$C$15:$C$121,B28,RH_ETI_Atividade!$AO$15:$AO$121)</f>
        <v>0</v>
      </c>
      <c r="D28" s="423">
        <f>SUMIF(RH_ETI_Atividade!$C$15:$C$121,B28,RH_ETI_Atividade!$AP$15:$AP$121)</f>
        <v>0</v>
      </c>
      <c r="E28" s="423">
        <f>SUMIF(RH_ETI_Atividade!$C$15:$C$121,B28,RH_ETI_Atividade!$AQ$15:$AQ$121)</f>
        <v>0</v>
      </c>
      <c r="F28" s="423">
        <f>SUMIF(RH_ETI_Atividade!$C$15:$C$121,B28,RH_ETI_Atividade!$AR$15:$AR$121)</f>
        <v>0</v>
      </c>
      <c r="G28" s="424">
        <f t="shared" si="0"/>
        <v>0</v>
      </c>
      <c r="H28" s="430">
        <f t="shared" si="1"/>
        <v>0</v>
      </c>
      <c r="I28" s="421" t="str">
        <f>IF(ATIVIDADES!D28&gt;0,VLOOKUP(B28,ATIVIDADES!C27:H38,6,FALSE),"")</f>
        <v/>
      </c>
    </row>
    <row r="29" spans="2:9" ht="19" thickBot="1">
      <c r="B29" s="416" t="s">
        <v>25</v>
      </c>
      <c r="C29" s="431">
        <f>SUM(C18:C28)</f>
        <v>1.65</v>
      </c>
      <c r="D29" s="432">
        <f t="shared" ref="D29:G29" si="2">SUM(D18:D28)</f>
        <v>38.6</v>
      </c>
      <c r="E29" s="432">
        <f t="shared" si="2"/>
        <v>63.05</v>
      </c>
      <c r="F29" s="432">
        <f t="shared" si="2"/>
        <v>31.009999999999998</v>
      </c>
      <c r="G29" s="433">
        <f t="shared" si="2"/>
        <v>134.31</v>
      </c>
      <c r="H29" s="434">
        <f>SUM(H18:H28)</f>
        <v>580219.19999999995</v>
      </c>
      <c r="I29" s="434"/>
    </row>
    <row r="32" spans="2:9">
      <c r="H32" s="521"/>
    </row>
    <row r="33" spans="2:10" ht="26">
      <c r="B33" s="416" t="s">
        <v>27</v>
      </c>
      <c r="C33" s="416">
        <f>RH_ETI_Atividade!AO13</f>
        <v>2026</v>
      </c>
      <c r="D33" s="416">
        <f>RH_ETI_Atividade!AP13</f>
        <v>2027</v>
      </c>
      <c r="E33" s="416">
        <f>RH_ETI_Atividade!AQ13</f>
        <v>2028</v>
      </c>
      <c r="F33" s="416">
        <f>RH_ETI_Atividade!AR13</f>
        <v>2029</v>
      </c>
      <c r="G33" s="416" t="s">
        <v>25</v>
      </c>
      <c r="H33" s="435"/>
      <c r="I33" s="436"/>
      <c r="J33" s="437"/>
    </row>
    <row r="34" spans="2:10">
      <c r="B34" s="421" t="s">
        <v>16</v>
      </c>
      <c r="C34" s="438">
        <f>+$D$14*C18</f>
        <v>7128</v>
      </c>
      <c r="D34" s="438">
        <f>+$D$14*D18</f>
        <v>6912</v>
      </c>
      <c r="E34" s="438">
        <f>+E18*$D$14</f>
        <v>6480</v>
      </c>
      <c r="F34" s="438">
        <f>+F18*$D$14</f>
        <v>8640</v>
      </c>
      <c r="G34" s="438">
        <f>SUM(C34:F34)</f>
        <v>29160</v>
      </c>
      <c r="H34" s="439"/>
    </row>
    <row r="35" spans="2:10">
      <c r="B35" s="426" t="s">
        <v>17</v>
      </c>
      <c r="C35" s="440">
        <f t="shared" ref="C35:D44" si="3">+$D$14*C19</f>
        <v>0</v>
      </c>
      <c r="D35" s="440">
        <f t="shared" si="3"/>
        <v>60480</v>
      </c>
      <c r="E35" s="440">
        <f t="shared" ref="E35:F44" si="4">+E19*$D$14</f>
        <v>55296</v>
      </c>
      <c r="F35" s="440">
        <f t="shared" si="4"/>
        <v>0</v>
      </c>
      <c r="G35" s="440">
        <f t="shared" ref="G35:G44" si="5">SUM(C35:F35)</f>
        <v>115776</v>
      </c>
      <c r="H35" s="439"/>
    </row>
    <row r="36" spans="2:10">
      <c r="B36" s="426" t="s">
        <v>18</v>
      </c>
      <c r="C36" s="440">
        <f t="shared" si="3"/>
        <v>0</v>
      </c>
      <c r="D36" s="440">
        <f t="shared" si="3"/>
        <v>64800</v>
      </c>
      <c r="E36" s="440">
        <f t="shared" si="4"/>
        <v>45360</v>
      </c>
      <c r="F36" s="440">
        <f t="shared" si="4"/>
        <v>4320</v>
      </c>
      <c r="G36" s="440">
        <f>SUM(C36:F36)</f>
        <v>114480</v>
      </c>
      <c r="H36" s="439"/>
    </row>
    <row r="37" spans="2:10">
      <c r="B37" s="426" t="s">
        <v>19</v>
      </c>
      <c r="C37" s="440">
        <f t="shared" si="3"/>
        <v>0</v>
      </c>
      <c r="D37" s="440">
        <f t="shared" si="3"/>
        <v>34560</v>
      </c>
      <c r="E37" s="440">
        <f t="shared" si="4"/>
        <v>21600</v>
      </c>
      <c r="F37" s="440">
        <f t="shared" si="4"/>
        <v>2160</v>
      </c>
      <c r="G37" s="440">
        <f t="shared" si="5"/>
        <v>58320</v>
      </c>
      <c r="H37" s="439"/>
    </row>
    <row r="38" spans="2:10">
      <c r="B38" s="426" t="s">
        <v>20</v>
      </c>
      <c r="C38" s="440">
        <f t="shared" si="3"/>
        <v>0</v>
      </c>
      <c r="D38" s="440">
        <f t="shared" si="3"/>
        <v>0</v>
      </c>
      <c r="E38" s="440">
        <f t="shared" si="4"/>
        <v>87480</v>
      </c>
      <c r="F38" s="440">
        <f t="shared" si="4"/>
        <v>60739.199999999997</v>
      </c>
      <c r="G38" s="440">
        <f>SUM(C38:F38)</f>
        <v>148219.20000000001</v>
      </c>
      <c r="H38" s="439"/>
    </row>
    <row r="39" spans="2:10">
      <c r="B39" s="426" t="s">
        <v>21</v>
      </c>
      <c r="C39" s="440">
        <f t="shared" si="3"/>
        <v>0</v>
      </c>
      <c r="D39" s="440">
        <f t="shared" si="3"/>
        <v>0</v>
      </c>
      <c r="E39" s="440">
        <f t="shared" si="4"/>
        <v>56160</v>
      </c>
      <c r="F39" s="440">
        <f t="shared" si="4"/>
        <v>58104</v>
      </c>
      <c r="G39" s="440">
        <f t="shared" si="5"/>
        <v>114264</v>
      </c>
      <c r="H39" s="439"/>
    </row>
    <row r="40" spans="2:10">
      <c r="B40" s="426" t="s">
        <v>22</v>
      </c>
      <c r="C40" s="440">
        <f t="shared" si="3"/>
        <v>0</v>
      </c>
      <c r="D40" s="440">
        <f t="shared" si="3"/>
        <v>0</v>
      </c>
      <c r="E40" s="440">
        <f t="shared" si="4"/>
        <v>0</v>
      </c>
      <c r="F40" s="440">
        <f t="shared" si="4"/>
        <v>0</v>
      </c>
      <c r="G40" s="440">
        <f t="shared" si="5"/>
        <v>0</v>
      </c>
      <c r="H40" s="439"/>
    </row>
    <row r="41" spans="2:10">
      <c r="B41" s="426" t="s">
        <v>144</v>
      </c>
      <c r="C41" s="440">
        <f t="shared" si="3"/>
        <v>0</v>
      </c>
      <c r="D41" s="440">
        <f t="shared" si="3"/>
        <v>0</v>
      </c>
      <c r="E41" s="440">
        <f t="shared" si="4"/>
        <v>0</v>
      </c>
      <c r="F41" s="440">
        <f t="shared" si="4"/>
        <v>0</v>
      </c>
      <c r="G41" s="440">
        <f t="shared" si="5"/>
        <v>0</v>
      </c>
      <c r="H41" s="439"/>
    </row>
    <row r="42" spans="2:10">
      <c r="B42" s="426" t="s">
        <v>145</v>
      </c>
      <c r="C42" s="440">
        <f t="shared" si="3"/>
        <v>0</v>
      </c>
      <c r="D42" s="440">
        <f t="shared" si="3"/>
        <v>0</v>
      </c>
      <c r="E42" s="440">
        <f t="shared" si="4"/>
        <v>0</v>
      </c>
      <c r="F42" s="440">
        <f t="shared" si="4"/>
        <v>0</v>
      </c>
      <c r="G42" s="440">
        <f t="shared" si="5"/>
        <v>0</v>
      </c>
      <c r="H42" s="439"/>
    </row>
    <row r="43" spans="2:10">
      <c r="B43" s="426" t="s">
        <v>146</v>
      </c>
      <c r="C43" s="440">
        <f t="shared" si="3"/>
        <v>0</v>
      </c>
      <c r="D43" s="440">
        <f t="shared" si="3"/>
        <v>0</v>
      </c>
      <c r="E43" s="440">
        <f t="shared" si="4"/>
        <v>0</v>
      </c>
      <c r="F43" s="440">
        <f t="shared" si="4"/>
        <v>0</v>
      </c>
      <c r="G43" s="440">
        <f t="shared" si="5"/>
        <v>0</v>
      </c>
      <c r="H43" s="439"/>
    </row>
    <row r="44" spans="2:10">
      <c r="B44" s="421" t="s">
        <v>147</v>
      </c>
      <c r="C44" s="438">
        <f t="shared" si="3"/>
        <v>0</v>
      </c>
      <c r="D44" s="438">
        <f t="shared" si="3"/>
        <v>0</v>
      </c>
      <c r="E44" s="438">
        <f t="shared" si="4"/>
        <v>0</v>
      </c>
      <c r="F44" s="438">
        <f t="shared" si="4"/>
        <v>0</v>
      </c>
      <c r="G44" s="438">
        <f t="shared" si="5"/>
        <v>0</v>
      </c>
      <c r="H44" s="439"/>
    </row>
    <row r="45" spans="2:10" ht="18.5">
      <c r="B45" s="416" t="s">
        <v>25</v>
      </c>
      <c r="C45" s="441">
        <f>SUM(C34:C44)</f>
        <v>7128</v>
      </c>
      <c r="D45" s="441">
        <f t="shared" ref="D45" si="6">SUM(D34:D44)</f>
        <v>166752</v>
      </c>
      <c r="E45" s="441">
        <f t="shared" ref="E45" si="7">SUM(E34:E44)</f>
        <v>272376</v>
      </c>
      <c r="F45" s="441">
        <f t="shared" ref="F45" si="8">SUM(F34:F44)</f>
        <v>133963.20000000001</v>
      </c>
      <c r="G45" s="441">
        <f>SUM(G34:G44)</f>
        <v>580219.19999999995</v>
      </c>
      <c r="H45" s="442"/>
    </row>
    <row r="47" spans="2:10" ht="18.5">
      <c r="B47" s="416" t="s">
        <v>151</v>
      </c>
      <c r="C47" s="441">
        <f>+C45*0.25</f>
        <v>1782</v>
      </c>
      <c r="D47" s="441">
        <f>+D45*0.25</f>
        <v>41688</v>
      </c>
      <c r="E47" s="441">
        <f>+E45*0.25</f>
        <v>68094</v>
      </c>
      <c r="F47" s="441">
        <f>+F45*0.25</f>
        <v>33490.800000000003</v>
      </c>
      <c r="G47" s="441">
        <f>+G45*0.25</f>
        <v>145054.79999999999</v>
      </c>
    </row>
    <row r="49" spans="2:20" ht="33.5">
      <c r="B49" s="411" t="s">
        <v>207</v>
      </c>
    </row>
    <row r="52" spans="2:20" ht="18.5">
      <c r="C52" s="753" t="s">
        <v>205</v>
      </c>
      <c r="D52" s="754"/>
      <c r="E52" s="754"/>
      <c r="F52" s="754"/>
      <c r="G52" s="754"/>
      <c r="H52" s="754"/>
      <c r="I52" s="754"/>
      <c r="J52" s="754"/>
      <c r="K52" s="754"/>
      <c r="L52" s="754"/>
      <c r="M52" s="754"/>
    </row>
    <row r="53" spans="2:20" ht="37">
      <c r="B53" s="515" t="s">
        <v>183</v>
      </c>
      <c r="C53" s="516" t="s">
        <v>16</v>
      </c>
      <c r="D53" s="517" t="s">
        <v>17</v>
      </c>
      <c r="E53" s="517" t="s">
        <v>18</v>
      </c>
      <c r="F53" s="517" t="s">
        <v>19</v>
      </c>
      <c r="G53" s="517" t="s">
        <v>20</v>
      </c>
      <c r="H53" s="517" t="s">
        <v>21</v>
      </c>
      <c r="I53" s="517" t="s">
        <v>22</v>
      </c>
      <c r="J53" s="517" t="s">
        <v>144</v>
      </c>
      <c r="K53" s="517" t="s">
        <v>145</v>
      </c>
      <c r="L53" s="517" t="s">
        <v>146</v>
      </c>
      <c r="M53" s="517" t="s">
        <v>147</v>
      </c>
      <c r="N53" s="518" t="s">
        <v>25</v>
      </c>
      <c r="O53" s="514" t="s">
        <v>216</v>
      </c>
      <c r="S53" s="435"/>
      <c r="T53" s="435"/>
    </row>
    <row r="54" spans="2:20">
      <c r="B54" s="421" t="str">
        <f>'Valores bolsas e 57_2016'!A42</f>
        <v>Ana Cristina Coelho</v>
      </c>
      <c r="C54" s="422">
        <f>SUMIFS(RH_ETI_Atividade!$AN$15:$AN$121,RH_ETI_Atividade!$B$15:$B$121,B54,RH_ETI_Atividade!$C$15:$C$121,$C$53)</f>
        <v>3.65</v>
      </c>
      <c r="D54" s="422">
        <f>SUMIFS(RH_ETI_Atividade!$AN$15:$AN$121,RH_ETI_Atividade!$B$15:$B$121,B54,RH_ETI_Atividade!$C$15:$C$121,$D$53)</f>
        <v>1.3</v>
      </c>
      <c r="E54" s="422">
        <f>SUMIFS(RH_ETI_Atividade!$AN$15:$AN$121,RH_ETI_Atividade!$B$15:$B$121,B54,RH_ETI_Atividade!$C$15:$C$121,$E$53)</f>
        <v>1.5</v>
      </c>
      <c r="F54" s="422">
        <f>SUMIFS(RH_ETI_Atividade!$AN$15:$AN$121,RH_ETI_Atividade!$B$15:$B$121,$B54,RH_ETI_Atividade!$C$15:$C$121,$F$53)</f>
        <v>2</v>
      </c>
      <c r="G54" s="422">
        <f>SUMIFS(RH_ETI_Atividade!$AN$15:$AN$121,RH_ETI_Atividade!$B$15:$B$121,$B54,RH_ETI_Atividade!$C$15:$C$121,$G$53)</f>
        <v>2</v>
      </c>
      <c r="H54" s="422">
        <f>SUMIFS(RH_ETI_Atividade!$AN$15:$AN$121,RH_ETI_Atividade!$B$15:$B$121,$B54,RH_ETI_Atividade!$C$15:$C$121,$H$53)</f>
        <v>1.1000000000000001</v>
      </c>
      <c r="I54" s="422">
        <f>SUMIFS(RH_ETI_Atividade!$AN$15:$AN$121,RH_ETI_Atividade!$B$15:$B$121,$B54,RH_ETI_Atividade!$C$15:$C$121,$I$53)</f>
        <v>0</v>
      </c>
      <c r="J54" s="422">
        <f>SUMIFS(RH_ETI_Atividade!$AN$15:$AN$121,RH_ETI_Atividade!$B$15:$B$121,$B54,RH_ETI_Atividade!$C$15:$C$121,$J$53)</f>
        <v>0</v>
      </c>
      <c r="K54" s="422">
        <f>SUMIFS(RH_ETI_Atividade!$AN$15:$AN$121,RH_ETI_Atividade!$B$15:$B$121,$B54,RH_ETI_Atividade!$C$15:$C$121,$K$53)</f>
        <v>0</v>
      </c>
      <c r="L54" s="422">
        <f>SUMIFS(RH_ETI_Atividade!$AN$15:$AN$121,RH_ETI_Atividade!$B$15:$B$121,$B54,RH_ETI_Atividade!$C$15:$C$121,$L$53)</f>
        <v>0</v>
      </c>
      <c r="M54" s="422">
        <f>SUMIFS(RH_ETI_Atividade!$AN$15:$AN$121,RH_ETI_Atividade!$B$15:$B$121,$B54,RH_ETI_Atividade!$C$15:$C$121,$M$53)</f>
        <v>0</v>
      </c>
      <c r="N54" s="424">
        <f>SUM(C54:M54)</f>
        <v>11.549999999999999</v>
      </c>
      <c r="O54" s="512">
        <f>RH_EQUIPA!L19</f>
        <v>11.549999999999999</v>
      </c>
      <c r="S54" s="439"/>
      <c r="T54" s="443"/>
    </row>
    <row r="55" spans="2:20">
      <c r="B55" s="426" t="str">
        <f>'Valores bolsas e 57_2016'!A43</f>
        <v>Ana Maria Costa</v>
      </c>
      <c r="C55" s="427">
        <f>SUMIFS(RH_ETI_Atividade!$AN$15:$AN$121,RH_ETI_Atividade!$B$15:$B$121,B55,RH_ETI_Atividade!$C$15:$C$121,$C$53)</f>
        <v>1</v>
      </c>
      <c r="D55" s="427">
        <f>SUMIFS(RH_ETI_Atividade!$AN$15:$AN$121,RH_ETI_Atividade!$B$15:$B$121,B55,RH_ETI_Atividade!$C$15:$C$121,$D$53)</f>
        <v>0</v>
      </c>
      <c r="E55" s="427">
        <f>SUMIFS(RH_ETI_Atividade!$AN$15:$AN$121,RH_ETI_Atividade!$B$15:$B$121,B55,RH_ETI_Atividade!$C$15:$C$121,$E$53)</f>
        <v>0</v>
      </c>
      <c r="F55" s="427">
        <f>SUMIFS(RH_ETI_Atividade!$AN$15:$AN$121,RH_ETI_Atividade!$B$15:$B$121,$B55,RH_ETI_Atividade!$C$15:$C$121,$F$53)</f>
        <v>2</v>
      </c>
      <c r="G55" s="427">
        <f>SUMIFS(RH_ETI_Atividade!$AN$15:$AN$121,RH_ETI_Atividade!$B$15:$B$121,$B55,RH_ETI_Atividade!$C$15:$C$121,$G$53)</f>
        <v>1</v>
      </c>
      <c r="H55" s="427">
        <f>SUMIFS(RH_ETI_Atividade!$AN$15:$AN$121,RH_ETI_Atividade!$B$15:$B$121,$B55,RH_ETI_Atividade!$C$15:$C$121,$H$53)</f>
        <v>0.95</v>
      </c>
      <c r="I55" s="427">
        <f>SUMIFS(RH_ETI_Atividade!$AN$15:$AN$121,RH_ETI_Atividade!$B$15:$B$121,$B55,RH_ETI_Atividade!$C$15:$C$121,$I$53)</f>
        <v>0</v>
      </c>
      <c r="J55" s="427">
        <f>SUMIFS(RH_ETI_Atividade!$AN$15:$AN$121,RH_ETI_Atividade!$B$15:$B$121,$B55,RH_ETI_Atividade!$C$15:$C$121,$J$53)</f>
        <v>0</v>
      </c>
      <c r="K55" s="427">
        <f>SUMIFS(RH_ETI_Atividade!$AN$15:$AN$121,RH_ETI_Atividade!$B$15:$B$121,$B55,RH_ETI_Atividade!$C$15:$C$121,$K$53)</f>
        <v>0</v>
      </c>
      <c r="L55" s="427">
        <f>SUMIFS(RH_ETI_Atividade!$AN$15:$AN$121,RH_ETI_Atividade!$B$15:$B$121,$B55,RH_ETI_Atividade!$C$15:$C$121,$L$53)</f>
        <v>0</v>
      </c>
      <c r="M55" s="427">
        <f>SUMIFS(RH_ETI_Atividade!$AN$15:$AN$121,RH_ETI_Atividade!$B$15:$B$121,$B55,RH_ETI_Atividade!$C$15:$C$121,$M$53)</f>
        <v>0</v>
      </c>
      <c r="N55" s="429">
        <f t="shared" ref="N55:O72" si="9">SUM(C55:M55)</f>
        <v>4.95</v>
      </c>
      <c r="O55" s="513">
        <f>RH_EQUIPA!L20</f>
        <v>4.95</v>
      </c>
      <c r="S55" s="439"/>
      <c r="T55" s="443"/>
    </row>
    <row r="56" spans="2:20">
      <c r="B56" s="426" t="str">
        <f>'Valores bolsas e 57_2016'!A44</f>
        <v>Cristina Veiga-Pires</v>
      </c>
      <c r="C56" s="427">
        <f>SUMIFS(RH_ETI_Atividade!$AN$15:$AN$121,RH_ETI_Atividade!$B$15:$B$121,B56,RH_ETI_Atividade!$C$15:$C$121,$C$53)</f>
        <v>1</v>
      </c>
      <c r="D56" s="427">
        <f>SUMIFS(RH_ETI_Atividade!$AN$15:$AN$121,RH_ETI_Atividade!$B$15:$B$121,B56,RH_ETI_Atividade!$C$15:$C$121,$D$53)</f>
        <v>0</v>
      </c>
      <c r="E56" s="427">
        <f>SUMIFS(RH_ETI_Atividade!$AN$15:$AN$121,RH_ETI_Atividade!$B$15:$B$121,B56,RH_ETI_Atividade!$C$15:$C$121,$E$53)</f>
        <v>2</v>
      </c>
      <c r="F56" s="427">
        <f>SUMIFS(RH_ETI_Atividade!$AN$15:$AN$121,RH_ETI_Atividade!$B$15:$B$121,$B56,RH_ETI_Atividade!$C$15:$C$121,$F$53)</f>
        <v>0</v>
      </c>
      <c r="G56" s="427">
        <f>SUMIFS(RH_ETI_Atividade!$AN$15:$AN$121,RH_ETI_Atividade!$B$15:$B$121,$B56,RH_ETI_Atividade!$C$15:$C$121,$G$53)</f>
        <v>1</v>
      </c>
      <c r="H56" s="427">
        <f>SUMIFS(RH_ETI_Atividade!$AN$15:$AN$121,RH_ETI_Atividade!$B$15:$B$121,$B56,RH_ETI_Atividade!$C$15:$C$121,$H$53)</f>
        <v>0.95</v>
      </c>
      <c r="I56" s="427">
        <f>SUMIFS(RH_ETI_Atividade!$AN$15:$AN$121,RH_ETI_Atividade!$B$15:$B$121,$B56,RH_ETI_Atividade!$C$15:$C$121,$I$53)</f>
        <v>0</v>
      </c>
      <c r="J56" s="427">
        <f>SUMIFS(RH_ETI_Atividade!$AN$15:$AN$121,RH_ETI_Atividade!$B$15:$B$121,$B56,RH_ETI_Atividade!$C$15:$C$121,$J$53)</f>
        <v>0</v>
      </c>
      <c r="K56" s="427">
        <f>SUMIFS(RH_ETI_Atividade!$AN$15:$AN$121,RH_ETI_Atividade!$B$15:$B$121,$B56,RH_ETI_Atividade!$C$15:$C$121,$K$53)</f>
        <v>0</v>
      </c>
      <c r="L56" s="427">
        <f>SUMIFS(RH_ETI_Atividade!$AN$15:$AN$121,RH_ETI_Atividade!$B$15:$B$121,$B56,RH_ETI_Atividade!$C$15:$C$121,$L$53)</f>
        <v>0</v>
      </c>
      <c r="M56" s="427">
        <f>SUMIFS(RH_ETI_Atividade!$AN$15:$AN$121,RH_ETI_Atividade!$B$15:$B$121,$B56,RH_ETI_Atividade!$C$15:$C$121,$M$53)</f>
        <v>0</v>
      </c>
      <c r="N56" s="429">
        <f t="shared" si="9"/>
        <v>4.95</v>
      </c>
      <c r="O56" s="513">
        <f>RH_EQUIPA!L21</f>
        <v>4.95</v>
      </c>
      <c r="S56" s="439"/>
      <c r="T56" s="443"/>
    </row>
    <row r="57" spans="2:20">
      <c r="B57" s="426" t="str">
        <f>'Valores bolsas e 57_2016'!A45</f>
        <v>Jorge Semião</v>
      </c>
      <c r="C57" s="427">
        <f>SUMIFS(RH_ETI_Atividade!$AN$15:$AN$121,RH_ETI_Atividade!$B$15:$B$121,B57,RH_ETI_Atividade!$C$15:$C$121,$C$53)</f>
        <v>0</v>
      </c>
      <c r="D57" s="427">
        <f>SUMIFS(RH_ETI_Atividade!$AN$15:$AN$121,RH_ETI_Atividade!$B$15:$B$121,B57,RH_ETI_Atividade!$C$15:$C$121,$D$53)</f>
        <v>1</v>
      </c>
      <c r="E57" s="427">
        <f>SUMIFS(RH_ETI_Atividade!$AN$15:$AN$121,RH_ETI_Atividade!$B$15:$B$121,B57,RH_ETI_Atividade!$C$15:$C$121,$E$53)</f>
        <v>0</v>
      </c>
      <c r="F57" s="427">
        <f>SUMIFS(RH_ETI_Atividade!$AN$15:$AN$121,RH_ETI_Atividade!$B$15:$B$121,$B57,RH_ETI_Atividade!$C$15:$C$121,$F$53)</f>
        <v>0</v>
      </c>
      <c r="G57" s="427">
        <f>SUMIFS(RH_ETI_Atividade!$AN$15:$AN$121,RH_ETI_Atividade!$B$15:$B$121,$B57,RH_ETI_Atividade!$C$15:$C$121,$G$53)</f>
        <v>0.64999999999999991</v>
      </c>
      <c r="H57" s="427">
        <f>SUMIFS(RH_ETI_Atividade!$AN$15:$AN$121,RH_ETI_Atividade!$B$15:$B$121,$B57,RH_ETI_Atividade!$C$15:$C$121,$H$53)</f>
        <v>0</v>
      </c>
      <c r="I57" s="427">
        <f>SUMIFS(RH_ETI_Atividade!$AN$15:$AN$121,RH_ETI_Atividade!$B$15:$B$121,$B57,RH_ETI_Atividade!$C$15:$C$121,$I$53)</f>
        <v>0</v>
      </c>
      <c r="J57" s="427">
        <f>SUMIFS(RH_ETI_Atividade!$AN$15:$AN$121,RH_ETI_Atividade!$B$15:$B$121,$B57,RH_ETI_Atividade!$C$15:$C$121,$J$53)</f>
        <v>0</v>
      </c>
      <c r="K57" s="427">
        <f>SUMIFS(RH_ETI_Atividade!$AN$15:$AN$121,RH_ETI_Atividade!$B$15:$B$121,$B57,RH_ETI_Atividade!$C$15:$C$121,$K$53)</f>
        <v>0</v>
      </c>
      <c r="L57" s="427">
        <f>SUMIFS(RH_ETI_Atividade!$AN$15:$AN$121,RH_ETI_Atividade!$B$15:$B$121,$B57,RH_ETI_Atividade!$C$15:$C$121,$L$53)</f>
        <v>0</v>
      </c>
      <c r="M57" s="427">
        <f>SUMIFS(RH_ETI_Atividade!$AN$15:$AN$121,RH_ETI_Atividade!$B$15:$B$121,$B57,RH_ETI_Atividade!$C$15:$C$121,$M$53)</f>
        <v>0</v>
      </c>
      <c r="N57" s="429">
        <f t="shared" si="9"/>
        <v>1.65</v>
      </c>
      <c r="O57" s="513">
        <f>RH_EQUIPA!L22</f>
        <v>1.6500000000000004</v>
      </c>
      <c r="S57" s="439"/>
      <c r="T57" s="443"/>
    </row>
    <row r="58" spans="2:20">
      <c r="B58" s="426" t="str">
        <f>'Valores bolsas e 57_2016'!A46</f>
        <v>Jânio Monteiro</v>
      </c>
      <c r="C58" s="427">
        <f>SUMIFS(RH_ETI_Atividade!$AN$15:$AN$121,RH_ETI_Atividade!$B$15:$B$121,B58,RH_ETI_Atividade!$C$15:$C$121,$C$53)</f>
        <v>0</v>
      </c>
      <c r="D58" s="427">
        <f>SUMIFS(RH_ETI_Atividade!$AN$15:$AN$121,RH_ETI_Atividade!$B$15:$B$121,B58,RH_ETI_Atividade!$C$15:$C$121,$D$53)</f>
        <v>0</v>
      </c>
      <c r="E58" s="427">
        <f>SUMIFS(RH_ETI_Atividade!$AN$15:$AN$121,RH_ETI_Atividade!$B$15:$B$121,B58,RH_ETI_Atividade!$C$15:$C$121,$E$53)</f>
        <v>1</v>
      </c>
      <c r="F58" s="427">
        <f>SUMIFS(RH_ETI_Atividade!$AN$15:$AN$121,RH_ETI_Atividade!$B$15:$B$121,$B58,RH_ETI_Atividade!$C$15:$C$121,$F$53)</f>
        <v>0</v>
      </c>
      <c r="G58" s="427">
        <f>SUMIFS(RH_ETI_Atividade!$AN$15:$AN$121,RH_ETI_Atividade!$B$15:$B$121,$B58,RH_ETI_Atividade!$C$15:$C$121,$G$53)</f>
        <v>0.65</v>
      </c>
      <c r="H58" s="427">
        <f>SUMIFS(RH_ETI_Atividade!$AN$15:$AN$121,RH_ETI_Atividade!$B$15:$B$121,$B58,RH_ETI_Atividade!$C$15:$C$121,$H$53)</f>
        <v>0</v>
      </c>
      <c r="I58" s="427">
        <f>SUMIFS(RH_ETI_Atividade!$AN$15:$AN$121,RH_ETI_Atividade!$B$15:$B$121,$B58,RH_ETI_Atividade!$C$15:$C$121,$I$53)</f>
        <v>0</v>
      </c>
      <c r="J58" s="427">
        <f>SUMIFS(RH_ETI_Atividade!$AN$15:$AN$121,RH_ETI_Atividade!$B$15:$B$121,$B58,RH_ETI_Atividade!$C$15:$C$121,$J$53)</f>
        <v>0</v>
      </c>
      <c r="K58" s="427">
        <f>SUMIFS(RH_ETI_Atividade!$AN$15:$AN$121,RH_ETI_Atividade!$B$15:$B$121,$B58,RH_ETI_Atividade!$C$15:$C$121,$K$53)</f>
        <v>0</v>
      </c>
      <c r="L58" s="427">
        <f>SUMIFS(RH_ETI_Atividade!$AN$15:$AN$121,RH_ETI_Atividade!$B$15:$B$121,$B58,RH_ETI_Atividade!$C$15:$C$121,$L$53)</f>
        <v>0</v>
      </c>
      <c r="M58" s="427">
        <f>SUMIFS(RH_ETI_Atividade!$AN$15:$AN$121,RH_ETI_Atividade!$B$15:$B$121,$B58,RH_ETI_Atividade!$C$15:$C$121,$M$53)</f>
        <v>0</v>
      </c>
      <c r="N58" s="429">
        <f t="shared" si="9"/>
        <v>1.65</v>
      </c>
      <c r="O58" s="513">
        <f>RH_EQUIPA!L23</f>
        <v>1.6500000000000004</v>
      </c>
      <c r="S58" s="439"/>
      <c r="T58" s="443"/>
    </row>
    <row r="59" spans="2:20">
      <c r="B59" s="426" t="str">
        <f>'Valores bolsas e 57_2016'!A47</f>
        <v>Pedro cardoso</v>
      </c>
      <c r="C59" s="427">
        <f>SUMIFS(RH_ETI_Atividade!$AN$15:$AN$121,RH_ETI_Atividade!$B$15:$B$121,B59,RH_ETI_Atividade!$C$15:$C$121,$C$53)</f>
        <v>0</v>
      </c>
      <c r="D59" s="427">
        <f>SUMIFS(RH_ETI_Atividade!$AN$15:$AN$121,RH_ETI_Atividade!$B$15:$B$121,B59,RH_ETI_Atividade!$C$15:$C$121,$D$53)</f>
        <v>0</v>
      </c>
      <c r="E59" s="427">
        <f>SUMIFS(RH_ETI_Atividade!$AN$15:$AN$121,RH_ETI_Atividade!$B$15:$B$121,B59,RH_ETI_Atividade!$C$15:$C$121,$E$53)</f>
        <v>0</v>
      </c>
      <c r="F59" s="427">
        <f>SUMIFS(RH_ETI_Atividade!$AN$15:$AN$121,RH_ETI_Atividade!$B$15:$B$121,$B59,RH_ETI_Atividade!$C$15:$C$121,$F$53)</f>
        <v>0</v>
      </c>
      <c r="G59" s="427">
        <f>SUMIFS(RH_ETI_Atividade!$AN$15:$AN$121,RH_ETI_Atividade!$B$15:$B$121,$B59,RH_ETI_Atividade!$C$15:$C$121,$G$53)</f>
        <v>1.65</v>
      </c>
      <c r="H59" s="427">
        <f>SUMIFS(RH_ETI_Atividade!$AN$15:$AN$121,RH_ETI_Atividade!$B$15:$B$121,$B59,RH_ETI_Atividade!$C$15:$C$121,$H$53)</f>
        <v>0</v>
      </c>
      <c r="I59" s="427">
        <f>SUMIFS(RH_ETI_Atividade!$AN$15:$AN$121,RH_ETI_Atividade!$B$15:$B$121,$B59,RH_ETI_Atividade!$C$15:$C$121,$I$53)</f>
        <v>0</v>
      </c>
      <c r="J59" s="427">
        <f>SUMIFS(RH_ETI_Atividade!$AN$15:$AN$121,RH_ETI_Atividade!$B$15:$B$121,$B59,RH_ETI_Atividade!$C$15:$C$121,$J$53)</f>
        <v>0</v>
      </c>
      <c r="K59" s="427">
        <f>SUMIFS(RH_ETI_Atividade!$AN$15:$AN$121,RH_ETI_Atividade!$B$15:$B$121,$B59,RH_ETI_Atividade!$C$15:$C$121,$K$53)</f>
        <v>0</v>
      </c>
      <c r="L59" s="427">
        <f>SUMIFS(RH_ETI_Atividade!$AN$15:$AN$121,RH_ETI_Atividade!$B$15:$B$121,$B59,RH_ETI_Atividade!$C$15:$C$121,$L$53)</f>
        <v>0</v>
      </c>
      <c r="M59" s="427">
        <f>SUMIFS(RH_ETI_Atividade!$AN$15:$AN$121,RH_ETI_Atividade!$B$15:$B$121,$B59,RH_ETI_Atividade!$C$15:$C$121,$M$53)</f>
        <v>0</v>
      </c>
      <c r="N59" s="429">
        <f t="shared" si="9"/>
        <v>1.65</v>
      </c>
      <c r="O59" s="513">
        <f>RH_EQUIPA!L24</f>
        <v>1.6500000000000004</v>
      </c>
      <c r="S59" s="439"/>
      <c r="T59" s="443"/>
    </row>
    <row r="60" spans="2:20">
      <c r="B60" s="426" t="str">
        <f>'Valores bolsas e 57_2016'!A48</f>
        <v>Roberto Lam</v>
      </c>
      <c r="C60" s="427">
        <f>SUMIFS(RH_ETI_Atividade!$AN$15:$AN$121,RH_ETI_Atividade!$B$15:$B$121,B60,RH_ETI_Atividade!$C$15:$C$121,$C$53)</f>
        <v>0</v>
      </c>
      <c r="D60" s="427">
        <f>SUMIFS(RH_ETI_Atividade!$AN$15:$AN$121,RH_ETI_Atividade!$B$15:$B$121,B60,RH_ETI_Atividade!$C$15:$C$121,$D$53)</f>
        <v>1</v>
      </c>
      <c r="E60" s="427">
        <f>SUMIFS(RH_ETI_Atividade!$AN$15:$AN$121,RH_ETI_Atividade!$B$15:$B$121,B60,RH_ETI_Atividade!$C$15:$C$121,$E$53)</f>
        <v>0</v>
      </c>
      <c r="F60" s="427">
        <f>SUMIFS(RH_ETI_Atividade!$AN$15:$AN$121,RH_ETI_Atividade!$B$15:$B$121,$B60,RH_ETI_Atividade!$C$15:$C$121,$F$53)</f>
        <v>0</v>
      </c>
      <c r="G60" s="427">
        <f>SUMIFS(RH_ETI_Atividade!$AN$15:$AN$121,RH_ETI_Atividade!$B$15:$B$121,$B60,RH_ETI_Atividade!$C$15:$C$121,$G$53)</f>
        <v>0.65</v>
      </c>
      <c r="H60" s="427">
        <f>SUMIFS(RH_ETI_Atividade!$AN$15:$AN$121,RH_ETI_Atividade!$B$15:$B$121,$B60,RH_ETI_Atividade!$C$15:$C$121,$H$53)</f>
        <v>0</v>
      </c>
      <c r="I60" s="427">
        <f>SUMIFS(RH_ETI_Atividade!$AN$15:$AN$121,RH_ETI_Atividade!$B$15:$B$121,$B60,RH_ETI_Atividade!$C$15:$C$121,$I$53)</f>
        <v>0</v>
      </c>
      <c r="J60" s="427">
        <f>SUMIFS(RH_ETI_Atividade!$AN$15:$AN$121,RH_ETI_Atividade!$B$15:$B$121,$B60,RH_ETI_Atividade!$C$15:$C$121,$J$53)</f>
        <v>0</v>
      </c>
      <c r="K60" s="427">
        <f>SUMIFS(RH_ETI_Atividade!$AN$15:$AN$121,RH_ETI_Atividade!$B$15:$B$121,$B60,RH_ETI_Atividade!$C$15:$C$121,$K$53)</f>
        <v>0</v>
      </c>
      <c r="L60" s="427">
        <f>SUMIFS(RH_ETI_Atividade!$AN$15:$AN$121,RH_ETI_Atividade!$B$15:$B$121,$B60,RH_ETI_Atividade!$C$15:$C$121,$L$53)</f>
        <v>0</v>
      </c>
      <c r="M60" s="427">
        <f>SUMIFS(RH_ETI_Atividade!$AN$15:$AN$121,RH_ETI_Atividade!$B$15:$B$121,$B60,RH_ETI_Atividade!$C$15:$C$121,$M$53)</f>
        <v>0</v>
      </c>
      <c r="N60" s="429">
        <f t="shared" si="9"/>
        <v>1.65</v>
      </c>
      <c r="O60" s="513">
        <f>RH_EQUIPA!L25</f>
        <v>1.6500000000000004</v>
      </c>
      <c r="S60" s="439"/>
      <c r="T60" s="443"/>
    </row>
    <row r="61" spans="2:20">
      <c r="B61" s="426" t="str">
        <f>'Valores bolsas e 57_2016'!A49</f>
        <v>Cristiano Cabrita</v>
      </c>
      <c r="C61" s="427">
        <f>SUMIFS(RH_ETI_Atividade!$AN$15:$AN$121,RH_ETI_Atividade!$B$15:$B$121,B61,RH_ETI_Atividade!$C$15:$C$121,$C$53)</f>
        <v>0</v>
      </c>
      <c r="D61" s="427">
        <f>SUMIFS(RH_ETI_Atividade!$AN$15:$AN$121,RH_ETI_Atividade!$B$15:$B$121,B61,RH_ETI_Atividade!$C$15:$C$121,$D$53)</f>
        <v>1</v>
      </c>
      <c r="E61" s="427">
        <f>SUMIFS(RH_ETI_Atividade!$AN$15:$AN$121,RH_ETI_Atividade!$B$15:$B$121,B61,RH_ETI_Atividade!$C$15:$C$121,$E$53)</f>
        <v>0</v>
      </c>
      <c r="F61" s="427">
        <f>SUMIFS(RH_ETI_Atividade!$AN$15:$AN$121,RH_ETI_Atividade!$B$15:$B$121,$B61,RH_ETI_Atividade!$C$15:$C$121,$F$53)</f>
        <v>0</v>
      </c>
      <c r="G61" s="427">
        <f>SUMIFS(RH_ETI_Atividade!$AN$15:$AN$121,RH_ETI_Atividade!$B$15:$B$121,$B61,RH_ETI_Atividade!$C$15:$C$121,$G$53)</f>
        <v>0.65</v>
      </c>
      <c r="H61" s="427">
        <f>SUMIFS(RH_ETI_Atividade!$AN$15:$AN$121,RH_ETI_Atividade!$B$15:$B$121,$B61,RH_ETI_Atividade!$C$15:$C$121,$H$53)</f>
        <v>0</v>
      </c>
      <c r="I61" s="427">
        <f>SUMIFS(RH_ETI_Atividade!$AN$15:$AN$121,RH_ETI_Atividade!$B$15:$B$121,$B61,RH_ETI_Atividade!$C$15:$C$121,$I$53)</f>
        <v>0</v>
      </c>
      <c r="J61" s="427">
        <f>SUMIFS(RH_ETI_Atividade!$AN$15:$AN$121,RH_ETI_Atividade!$B$15:$B$121,$B61,RH_ETI_Atividade!$C$15:$C$121,$J$53)</f>
        <v>0</v>
      </c>
      <c r="K61" s="427">
        <f>SUMIFS(RH_ETI_Atividade!$AN$15:$AN$121,RH_ETI_Atividade!$B$15:$B$121,$B61,RH_ETI_Atividade!$C$15:$C$121,$K$53)</f>
        <v>0</v>
      </c>
      <c r="L61" s="427">
        <f>SUMIFS(RH_ETI_Atividade!$AN$15:$AN$121,RH_ETI_Atividade!$B$15:$B$121,$B61,RH_ETI_Atividade!$C$15:$C$121,$L$53)</f>
        <v>0</v>
      </c>
      <c r="M61" s="427">
        <f>SUMIFS(RH_ETI_Atividade!$AN$15:$AN$121,RH_ETI_Atividade!$B$15:$B$121,$B61,RH_ETI_Atividade!$C$15:$C$121,$M$53)</f>
        <v>0</v>
      </c>
      <c r="N61" s="429">
        <f t="shared" si="9"/>
        <v>1.65</v>
      </c>
      <c r="O61" s="513">
        <f>RH_EQUIPA!L26</f>
        <v>1.6500000000000004</v>
      </c>
      <c r="S61" s="439"/>
      <c r="T61" s="443"/>
    </row>
    <row r="62" spans="2:20">
      <c r="B62" s="426" t="str">
        <f>'Valores bolsas e 57_2016'!A50</f>
        <v>Jaime Martins</v>
      </c>
      <c r="C62" s="427">
        <f>SUMIFS(RH_ETI_Atividade!$AN$15:$AN$121,RH_ETI_Atividade!$B$15:$B$121,B62,RH_ETI_Atividade!$C$15:$C$121,$C$53)</f>
        <v>0</v>
      </c>
      <c r="D62" s="427">
        <f>SUMIFS(RH_ETI_Atividade!$AN$15:$AN$121,RH_ETI_Atividade!$B$15:$B$121,B62,RH_ETI_Atividade!$C$15:$C$121,$D$53)</f>
        <v>0</v>
      </c>
      <c r="E62" s="427">
        <f>SUMIFS(RH_ETI_Atividade!$AN$15:$AN$121,RH_ETI_Atividade!$B$15:$B$121,B62,RH_ETI_Atividade!$C$15:$C$121,$E$53)</f>
        <v>0</v>
      </c>
      <c r="F62" s="427">
        <f>SUMIFS(RH_ETI_Atividade!$AN$15:$AN$121,RH_ETI_Atividade!$B$15:$B$121,$B62,RH_ETI_Atividade!$C$15:$C$121,$F$53)</f>
        <v>0</v>
      </c>
      <c r="G62" s="427">
        <f>SUMIFS(RH_ETI_Atividade!$AN$15:$AN$121,RH_ETI_Atividade!$B$15:$B$121,$B62,RH_ETI_Atividade!$C$15:$C$121,$G$53)</f>
        <v>1.65</v>
      </c>
      <c r="H62" s="427">
        <f>SUMIFS(RH_ETI_Atividade!$AN$15:$AN$121,RH_ETI_Atividade!$B$15:$B$121,$B62,RH_ETI_Atividade!$C$15:$C$121,$H$53)</f>
        <v>0</v>
      </c>
      <c r="I62" s="427">
        <f>SUMIFS(RH_ETI_Atividade!$AN$15:$AN$121,RH_ETI_Atividade!$B$15:$B$121,$B62,RH_ETI_Atividade!$C$15:$C$121,$I$53)</f>
        <v>0</v>
      </c>
      <c r="J62" s="427">
        <f>SUMIFS(RH_ETI_Atividade!$AN$15:$AN$121,RH_ETI_Atividade!$B$15:$B$121,$B62,RH_ETI_Atividade!$C$15:$C$121,$J$53)</f>
        <v>0</v>
      </c>
      <c r="K62" s="427">
        <f>SUMIFS(RH_ETI_Atividade!$AN$15:$AN$121,RH_ETI_Atividade!$B$15:$B$121,$B62,RH_ETI_Atividade!$C$15:$C$121,$K$53)</f>
        <v>0</v>
      </c>
      <c r="L62" s="427">
        <f>SUMIFS(RH_ETI_Atividade!$AN$15:$AN$121,RH_ETI_Atividade!$B$15:$B$121,$B62,RH_ETI_Atividade!$C$15:$C$121,$L$53)</f>
        <v>0</v>
      </c>
      <c r="M62" s="427">
        <f>SUMIFS(RH_ETI_Atividade!$AN$15:$AN$121,RH_ETI_Atividade!$B$15:$B$121,$B62,RH_ETI_Atividade!$C$15:$C$121,$M$53)</f>
        <v>0</v>
      </c>
      <c r="N62" s="429">
        <f t="shared" ref="N62:N65" si="10">SUM(C62:M62)</f>
        <v>1.65</v>
      </c>
      <c r="O62" s="513">
        <f>RH_EQUIPA!L27</f>
        <v>1.6500000000000004</v>
      </c>
      <c r="S62" s="439"/>
      <c r="T62" s="443"/>
    </row>
    <row r="63" spans="2:20">
      <c r="B63" s="426" t="str">
        <f>'Valores bolsas e 57_2016'!A51</f>
        <v>Paulo Silva</v>
      </c>
      <c r="C63" s="427">
        <f>SUMIFS(RH_ETI_Atividade!$AN$15:$AN$121,RH_ETI_Atividade!$B$15:$B$121,B63,RH_ETI_Atividade!$C$15:$C$121,$C$53)</f>
        <v>0</v>
      </c>
      <c r="D63" s="427">
        <f>SUMIFS(RH_ETI_Atividade!$AN$15:$AN$121,RH_ETI_Atividade!$B$15:$B$121,B63,RH_ETI_Atividade!$C$15:$C$121,$D$53)</f>
        <v>2</v>
      </c>
      <c r="E63" s="427">
        <f>SUMIFS(RH_ETI_Atividade!$AN$15:$AN$121,RH_ETI_Atividade!$B$15:$B$121,B63,RH_ETI_Atividade!$C$15:$C$121,$E$53)</f>
        <v>2</v>
      </c>
      <c r="F63" s="427">
        <f>SUMIFS(RH_ETI_Atividade!$AN$15:$AN$121,RH_ETI_Atividade!$B$15:$B$121,$B63,RH_ETI_Atividade!$C$15:$C$121,$F$53)</f>
        <v>0</v>
      </c>
      <c r="G63" s="427">
        <f>SUMIFS(RH_ETI_Atividade!$AN$15:$AN$121,RH_ETI_Atividade!$B$15:$B$121,$B63,RH_ETI_Atividade!$C$15:$C$121,$G$53)</f>
        <v>0.95</v>
      </c>
      <c r="H63" s="427">
        <f>SUMIFS(RH_ETI_Atividade!$AN$15:$AN$121,RH_ETI_Atividade!$B$15:$B$121,$B63,RH_ETI_Atividade!$C$15:$C$121,$H$53)</f>
        <v>0</v>
      </c>
      <c r="I63" s="427">
        <f>SUMIFS(RH_ETI_Atividade!$AN$15:$AN$121,RH_ETI_Atividade!$B$15:$B$121,$B63,RH_ETI_Atividade!$C$15:$C$121,$I$53)</f>
        <v>0</v>
      </c>
      <c r="J63" s="427">
        <f>SUMIFS(RH_ETI_Atividade!$AN$15:$AN$121,RH_ETI_Atividade!$B$15:$B$121,$B63,RH_ETI_Atividade!$C$15:$C$121,$J$53)</f>
        <v>0</v>
      </c>
      <c r="K63" s="427">
        <f>SUMIFS(RH_ETI_Atividade!$AN$15:$AN$121,RH_ETI_Atividade!$B$15:$B$121,$B63,RH_ETI_Atividade!$C$15:$C$121,$K$53)</f>
        <v>0</v>
      </c>
      <c r="L63" s="427">
        <f>SUMIFS(RH_ETI_Atividade!$AN$15:$AN$121,RH_ETI_Atividade!$B$15:$B$121,$B63,RH_ETI_Atividade!$C$15:$C$121,$L$53)</f>
        <v>0</v>
      </c>
      <c r="M63" s="427">
        <f>SUMIFS(RH_ETI_Atividade!$AN$15:$AN$121,RH_ETI_Atividade!$B$15:$B$121,$B63,RH_ETI_Atividade!$C$15:$C$121,$M$53)</f>
        <v>0</v>
      </c>
      <c r="N63" s="429">
        <f t="shared" si="10"/>
        <v>4.95</v>
      </c>
      <c r="O63" s="513">
        <f>RH_EQUIPA!L28</f>
        <v>4.95</v>
      </c>
      <c r="S63" s="439"/>
      <c r="T63" s="443"/>
    </row>
    <row r="64" spans="2:20">
      <c r="B64" s="426" t="str">
        <f>'Valores bolsas e 57_2016'!A52</f>
        <v>João Rodrigues</v>
      </c>
      <c r="C64" s="427">
        <f>SUMIFS(RH_ETI_Atividade!$AN$15:$AN$121,RH_ETI_Atividade!$B$15:$B$121,B64,RH_ETI_Atividade!$C$15:$C$121,$C$53)</f>
        <v>0</v>
      </c>
      <c r="D64" s="427">
        <f>SUMIFS(RH_ETI_Atividade!$AN$15:$AN$121,RH_ETI_Atividade!$B$15:$B$121,B64,RH_ETI_Atividade!$C$15:$C$121,$D$53)</f>
        <v>0</v>
      </c>
      <c r="E64" s="427">
        <f>SUMIFS(RH_ETI_Atividade!$AN$15:$AN$121,RH_ETI_Atividade!$B$15:$B$121,B64,RH_ETI_Atividade!$C$15:$C$121,$E$53)</f>
        <v>0</v>
      </c>
      <c r="F64" s="427">
        <f>SUMIFS(RH_ETI_Atividade!$AN$15:$AN$121,RH_ETI_Atividade!$B$15:$B$121,$B64,RH_ETI_Atividade!$C$15:$C$121,$F$53)</f>
        <v>0</v>
      </c>
      <c r="G64" s="427">
        <f>SUMIFS(RH_ETI_Atividade!$AN$15:$AN$121,RH_ETI_Atividade!$B$15:$B$121,$B64,RH_ETI_Atividade!$C$15:$C$121,$G$53)</f>
        <v>0.65999999999999992</v>
      </c>
      <c r="H64" s="427">
        <f>SUMIFS(RH_ETI_Atividade!$AN$15:$AN$121,RH_ETI_Atividade!$B$15:$B$121,$B64,RH_ETI_Atividade!$C$15:$C$121,$H$53)</f>
        <v>0</v>
      </c>
      <c r="I64" s="427">
        <f>SUMIFS(RH_ETI_Atividade!$AN$15:$AN$121,RH_ETI_Atividade!$B$15:$B$121,$B64,RH_ETI_Atividade!$C$15:$C$121,$I$53)</f>
        <v>0</v>
      </c>
      <c r="J64" s="427">
        <f>SUMIFS(RH_ETI_Atividade!$AN$15:$AN$121,RH_ETI_Atividade!$B$15:$B$121,$B64,RH_ETI_Atividade!$C$15:$C$121,$J$53)</f>
        <v>0</v>
      </c>
      <c r="K64" s="427">
        <f>SUMIFS(RH_ETI_Atividade!$AN$15:$AN$121,RH_ETI_Atividade!$B$15:$B$121,$B64,RH_ETI_Atividade!$C$15:$C$121,$K$53)</f>
        <v>0</v>
      </c>
      <c r="L64" s="427">
        <f>SUMIFS(RH_ETI_Atividade!$AN$15:$AN$121,RH_ETI_Atividade!$B$15:$B$121,$B64,RH_ETI_Atividade!$C$15:$C$121,$L$53)</f>
        <v>0</v>
      </c>
      <c r="M64" s="427">
        <f>SUMIFS(RH_ETI_Atividade!$AN$15:$AN$121,RH_ETI_Atividade!$B$15:$B$121,$B64,RH_ETI_Atividade!$C$15:$C$121,$M$53)</f>
        <v>0</v>
      </c>
      <c r="N64" s="429">
        <f t="shared" si="10"/>
        <v>0.65999999999999992</v>
      </c>
      <c r="O64" s="513">
        <f>RH_EQUIPA!L29</f>
        <v>0.66</v>
      </c>
      <c r="S64" s="439"/>
      <c r="T64" s="443"/>
    </row>
    <row r="65" spans="2:20">
      <c r="B65" s="426" t="str">
        <f>'Valores bolsas e 57_2016'!A53</f>
        <v>Joana Lessa</v>
      </c>
      <c r="C65" s="427">
        <f>SUMIFS(RH_ETI_Atividade!$AN$15:$AN$121,RH_ETI_Atividade!$B$15:$B$121,B65,RH_ETI_Atividade!$C$15:$C$121,$C$53)</f>
        <v>1.1000000000000001</v>
      </c>
      <c r="D65" s="427">
        <f>SUMIFS(RH_ETI_Atividade!$AN$15:$AN$121,RH_ETI_Atividade!$B$15:$B$121,B65,RH_ETI_Atividade!$C$15:$C$121,$D$53)</f>
        <v>0</v>
      </c>
      <c r="E65" s="427">
        <f>SUMIFS(RH_ETI_Atividade!$AN$15:$AN$121,RH_ETI_Atividade!$B$15:$B$121,B65,RH_ETI_Atividade!$C$15:$C$121,$E$53)</f>
        <v>0</v>
      </c>
      <c r="F65" s="427">
        <f>SUMIFS(RH_ETI_Atividade!$AN$15:$AN$121,RH_ETI_Atividade!$B$15:$B$121,$B65,RH_ETI_Atividade!$C$15:$C$121,$F$53)</f>
        <v>0</v>
      </c>
      <c r="G65" s="427">
        <f>SUMIFS(RH_ETI_Atividade!$AN$15:$AN$121,RH_ETI_Atividade!$B$15:$B$121,$B65,RH_ETI_Atividade!$C$15:$C$121,$G$53)</f>
        <v>0</v>
      </c>
      <c r="H65" s="427">
        <f>SUMIFS(RH_ETI_Atividade!$AN$15:$AN$121,RH_ETI_Atividade!$B$15:$B$121,$B65,RH_ETI_Atividade!$C$15:$C$121,$H$53)</f>
        <v>5.5</v>
      </c>
      <c r="I65" s="427">
        <f>SUMIFS(RH_ETI_Atividade!$AN$15:$AN$121,RH_ETI_Atividade!$B$15:$B$121,$B65,RH_ETI_Atividade!$C$15:$C$121,$I$53)</f>
        <v>0</v>
      </c>
      <c r="J65" s="427">
        <f>SUMIFS(RH_ETI_Atividade!$AN$15:$AN$121,RH_ETI_Atividade!$B$15:$B$121,$B65,RH_ETI_Atividade!$C$15:$C$121,$J$53)</f>
        <v>0</v>
      </c>
      <c r="K65" s="427">
        <f>SUMIFS(RH_ETI_Atividade!$AN$15:$AN$121,RH_ETI_Atividade!$B$15:$B$121,$B65,RH_ETI_Atividade!$C$15:$C$121,$K$53)</f>
        <v>0</v>
      </c>
      <c r="L65" s="427">
        <f>SUMIFS(RH_ETI_Atividade!$AN$15:$AN$121,RH_ETI_Atividade!$B$15:$B$121,$B65,RH_ETI_Atividade!$C$15:$C$121,$L$53)</f>
        <v>0</v>
      </c>
      <c r="M65" s="427">
        <f>SUMIFS(RH_ETI_Atividade!$AN$15:$AN$121,RH_ETI_Atividade!$B$15:$B$121,$B65,RH_ETI_Atividade!$C$15:$C$121,$M$53)</f>
        <v>0</v>
      </c>
      <c r="N65" s="429">
        <f t="shared" si="10"/>
        <v>6.6</v>
      </c>
      <c r="O65" s="513">
        <f>RH_EQUIPA!L30</f>
        <v>6.6000000000000014</v>
      </c>
      <c r="S65" s="439"/>
      <c r="T65" s="443"/>
    </row>
    <row r="66" spans="2:20">
      <c r="B66" s="426" t="str">
        <f>'Valores bolsas e 57_2016'!A54</f>
        <v>José Moreira</v>
      </c>
      <c r="C66" s="427">
        <f>SUMIFS(RH_ETI_Atividade!$AN$15:$AN$121,RH_ETI_Atividade!$B$15:$B$121,B66,RH_ETI_Atividade!$C$15:$C$121,$C$53)</f>
        <v>0</v>
      </c>
      <c r="D66" s="427">
        <f>SUMIFS(RH_ETI_Atividade!$AN$15:$AN$121,RH_ETI_Atividade!$B$15:$B$121,B66,RH_ETI_Atividade!$C$15:$C$121,$D$53)</f>
        <v>0</v>
      </c>
      <c r="E66" s="427">
        <f>SUMIFS(RH_ETI_Atividade!$AN$15:$AN$121,RH_ETI_Atividade!$B$15:$B$121,B66,RH_ETI_Atividade!$C$15:$C$121,$E$53)</f>
        <v>0</v>
      </c>
      <c r="F66" s="427">
        <f>SUMIFS(RH_ETI_Atividade!$AN$15:$AN$121,RH_ETI_Atividade!$B$15:$B$121,$B66,RH_ETI_Atividade!$C$15:$C$121,$F$53)</f>
        <v>1.5</v>
      </c>
      <c r="G66" s="427">
        <f>SUMIFS(RH_ETI_Atividade!$AN$15:$AN$121,RH_ETI_Atividade!$B$15:$B$121,$B66,RH_ETI_Atividade!$C$15:$C$121,$G$53)</f>
        <v>1.5</v>
      </c>
      <c r="H66" s="427">
        <f>SUMIFS(RH_ETI_Atividade!$AN$15:$AN$121,RH_ETI_Atividade!$B$15:$B$121,$B66,RH_ETI_Atividade!$C$15:$C$121,$H$53)</f>
        <v>1.95</v>
      </c>
      <c r="I66" s="427">
        <f>SUMIFS(RH_ETI_Atividade!$AN$15:$AN$121,RH_ETI_Atividade!$B$15:$B$121,$B66,RH_ETI_Atividade!$C$15:$C$121,$I$53)</f>
        <v>0</v>
      </c>
      <c r="J66" s="427">
        <f>SUMIFS(RH_ETI_Atividade!$AN$15:$AN$121,RH_ETI_Atividade!$B$15:$B$121,$B66,RH_ETI_Atividade!$C$15:$C$121,$J$53)</f>
        <v>0</v>
      </c>
      <c r="K66" s="427">
        <f>SUMIFS(RH_ETI_Atividade!$AN$15:$AN$121,RH_ETI_Atividade!$B$15:$B$121,$B66,RH_ETI_Atividade!$C$15:$C$121,$K$53)</f>
        <v>0</v>
      </c>
      <c r="L66" s="427">
        <f>SUMIFS(RH_ETI_Atividade!$AN$15:$AN$121,RH_ETI_Atividade!$B$15:$B$121,$B66,RH_ETI_Atividade!$C$15:$C$121,$L$53)</f>
        <v>0</v>
      </c>
      <c r="M66" s="427">
        <f>SUMIFS(RH_ETI_Atividade!$AN$15:$AN$121,RH_ETI_Atividade!$B$15:$B$121,$B66,RH_ETI_Atividade!$C$15:$C$121,$M$53)</f>
        <v>0</v>
      </c>
      <c r="N66" s="429">
        <f t="shared" ref="N66" si="11">SUM(C66:M66)</f>
        <v>4.95</v>
      </c>
      <c r="O66" s="513">
        <f>RH_EQUIPA!L31</f>
        <v>4.95</v>
      </c>
      <c r="S66" s="439"/>
      <c r="T66" s="443"/>
    </row>
    <row r="67" spans="2:20">
      <c r="B67" s="426" t="str">
        <f>'Valores bolsas e 57_2016'!A55</f>
        <v>Joel Guerreiro</v>
      </c>
      <c r="C67" s="427">
        <f>SUMIFS(RH_ETI_Atividade!$AN$15:$AN$121,RH_ETI_Atividade!$B$15:$B$121,B67,RH_ETI_Atividade!$C$15:$C$121,$C$53)</f>
        <v>0</v>
      </c>
      <c r="D67" s="427">
        <f>SUMIFS(RH_ETI_Atividade!$AN$15:$AN$121,RH_ETI_Atividade!$B$15:$B$121,B67,RH_ETI_Atividade!$C$15:$C$121,$D$53)</f>
        <v>1.5</v>
      </c>
      <c r="E67" s="427">
        <f>SUMIFS(RH_ETI_Atividade!$AN$15:$AN$121,RH_ETI_Atividade!$B$15:$B$121,B67,RH_ETI_Atividade!$C$15:$C$121,$E$53)</f>
        <v>0</v>
      </c>
      <c r="F67" s="427">
        <f>SUMIFS(RH_ETI_Atividade!$AN$15:$AN$121,RH_ETI_Atividade!$B$15:$B$121,$B67,RH_ETI_Atividade!$C$15:$C$121,$F$53)</f>
        <v>0</v>
      </c>
      <c r="G67" s="427">
        <f>SUMIFS(RH_ETI_Atividade!$AN$15:$AN$121,RH_ETI_Atividade!$B$15:$B$121,$B67,RH_ETI_Atividade!$C$15:$C$121,$G$53)</f>
        <v>1.8</v>
      </c>
      <c r="H67" s="427">
        <f>SUMIFS(RH_ETI_Atividade!$AN$15:$AN$121,RH_ETI_Atividade!$B$15:$B$121,$B67,RH_ETI_Atividade!$C$15:$C$121,$H$53)</f>
        <v>0</v>
      </c>
      <c r="I67" s="427">
        <f>SUMIFS(RH_ETI_Atividade!$AN$15:$AN$121,RH_ETI_Atividade!$B$15:$B$121,$B67,RH_ETI_Atividade!$C$15:$C$121,$I$53)</f>
        <v>0</v>
      </c>
      <c r="J67" s="427">
        <f>SUMIFS(RH_ETI_Atividade!$AN$15:$AN$121,RH_ETI_Atividade!$B$15:$B$121,$B67,RH_ETI_Atividade!$C$15:$C$121,$J$53)</f>
        <v>0</v>
      </c>
      <c r="K67" s="427">
        <f>SUMIFS(RH_ETI_Atividade!$AN$15:$AN$121,RH_ETI_Atividade!$B$15:$B$121,$B67,RH_ETI_Atividade!$C$15:$C$121,$K$53)</f>
        <v>0</v>
      </c>
      <c r="L67" s="427">
        <f>SUMIFS(RH_ETI_Atividade!$AN$15:$AN$121,RH_ETI_Atividade!$B$15:$B$121,$B67,RH_ETI_Atividade!$C$15:$C$121,$L$53)</f>
        <v>0</v>
      </c>
      <c r="M67" s="427">
        <f>SUMIFS(RH_ETI_Atividade!$AN$15:$AN$121,RH_ETI_Atividade!$B$15:$B$121,$B67,RH_ETI_Atividade!$C$15:$C$121,$M$53)</f>
        <v>0</v>
      </c>
      <c r="N67" s="429">
        <f t="shared" ref="N67" si="12">SUM(C67:M67)</f>
        <v>3.3</v>
      </c>
      <c r="O67" s="513">
        <f>RH_EQUIPA!L32</f>
        <v>3.3000000000000007</v>
      </c>
      <c r="S67" s="439"/>
      <c r="T67" s="443"/>
    </row>
    <row r="68" spans="2:20">
      <c r="B68" s="426" t="str">
        <f>'Valores bolsas e 57_2016'!A56</f>
        <v/>
      </c>
      <c r="C68" s="427">
        <f>SUMIFS(RH_ETI_Atividade!$AN$15:$AN$121,RH_ETI_Atividade!$B$15:$B$121,B68,RH_ETI_Atividade!$C$15:$C$121,$C$53)</f>
        <v>0</v>
      </c>
      <c r="D68" s="427">
        <f>SUMIFS(RH_ETI_Atividade!$AN$15:$AN$121,RH_ETI_Atividade!$B$15:$B$121,B68,RH_ETI_Atividade!$C$15:$C$121,$D$53)</f>
        <v>0</v>
      </c>
      <c r="E68" s="427">
        <f>SUMIFS(RH_ETI_Atividade!$AN$15:$AN$121,RH_ETI_Atividade!$B$15:$B$121,B68,RH_ETI_Atividade!$C$15:$C$121,$E$53)</f>
        <v>0</v>
      </c>
      <c r="F68" s="427">
        <f>SUMIFS(RH_ETI_Atividade!$AN$15:$AN$121,RH_ETI_Atividade!$B$15:$B$121,$B68,RH_ETI_Atividade!$C$15:$C$121,$F$53)</f>
        <v>0</v>
      </c>
      <c r="G68" s="427">
        <f>SUMIFS(RH_ETI_Atividade!$AN$15:$AN$121,RH_ETI_Atividade!$B$15:$B$121,$B68,RH_ETI_Atividade!$C$15:$C$121,$G$53)</f>
        <v>0</v>
      </c>
      <c r="H68" s="427">
        <f>SUMIFS(RH_ETI_Atividade!$AN$15:$AN$121,RH_ETI_Atividade!$B$15:$B$121,$B68,RH_ETI_Atividade!$C$15:$C$121,$H$53)</f>
        <v>0</v>
      </c>
      <c r="I68" s="427">
        <f>SUMIFS(RH_ETI_Atividade!$AN$15:$AN$121,RH_ETI_Atividade!$B$15:$B$121,$B68,RH_ETI_Atividade!$C$15:$C$121,$I$53)</f>
        <v>0</v>
      </c>
      <c r="J68" s="427">
        <f>SUMIFS(RH_ETI_Atividade!$AN$15:$AN$121,RH_ETI_Atividade!$B$15:$B$121,$B68,RH_ETI_Atividade!$C$15:$C$121,$J$53)</f>
        <v>0</v>
      </c>
      <c r="K68" s="427">
        <f>SUMIFS(RH_ETI_Atividade!$AN$15:$AN$121,RH_ETI_Atividade!$B$15:$B$121,$B68,RH_ETI_Atividade!$C$15:$C$121,$K$53)</f>
        <v>0</v>
      </c>
      <c r="L68" s="427">
        <f>SUMIFS(RH_ETI_Atividade!$AN$15:$AN$121,RH_ETI_Atividade!$B$15:$B$121,$B68,RH_ETI_Atividade!$C$15:$C$121,$L$53)</f>
        <v>0</v>
      </c>
      <c r="M68" s="427">
        <f>SUMIFS(RH_ETI_Atividade!$AN$15:$AN$121,RH_ETI_Atividade!$B$15:$B$121,$B68,RH_ETI_Atividade!$C$15:$C$121,$M$53)</f>
        <v>0</v>
      </c>
      <c r="N68" s="429">
        <f t="shared" si="9"/>
        <v>0</v>
      </c>
      <c r="O68" s="513">
        <f>RH_EQUIPA!L34</f>
        <v>27.500000000000007</v>
      </c>
      <c r="S68" s="439"/>
      <c r="T68" s="443"/>
    </row>
    <row r="69" spans="2:20">
      <c r="B69" s="426" t="str">
        <f>'Valores bolsas e 57_2016'!A57</f>
        <v>B1</v>
      </c>
      <c r="C69" s="427">
        <f>SUMIFS(RH_ETI_Atividade!$AN$15:$AN$121,RH_ETI_Atividade!$B$15:$B$121,B69,RH_ETI_Atividade!$C$15:$C$121,$C$53)</f>
        <v>0</v>
      </c>
      <c r="D69" s="427">
        <f>SUMIFS(RH_ETI_Atividade!$AN$15:$AN$121,RH_ETI_Atividade!$B$15:$B$121,B69,RH_ETI_Atividade!$C$15:$C$121,$D$53)</f>
        <v>6</v>
      </c>
      <c r="E69" s="427">
        <f>SUMIFS(RH_ETI_Atividade!$AN$15:$AN$121,RH_ETI_Atividade!$B$15:$B$121,B69,RH_ETI_Atividade!$C$15:$C$121,$E$53)</f>
        <v>8</v>
      </c>
      <c r="F69" s="427">
        <f>SUMIFS(RH_ETI_Atividade!$AN$15:$AN$121,RH_ETI_Atividade!$B$15:$B$121,$B69,RH_ETI_Atividade!$C$15:$C$121,$F$53)</f>
        <v>3</v>
      </c>
      <c r="G69" s="427">
        <f>SUMIFS(RH_ETI_Atividade!$AN$15:$AN$121,RH_ETI_Atividade!$B$15:$B$121,$B69,RH_ETI_Atividade!$C$15:$C$121,$G$53)</f>
        <v>5.5</v>
      </c>
      <c r="H69" s="427">
        <f>SUMIFS(RH_ETI_Atividade!$AN$15:$AN$121,RH_ETI_Atividade!$B$15:$B$121,$B69,RH_ETI_Atividade!$C$15:$C$121,$H$53)</f>
        <v>5</v>
      </c>
      <c r="I69" s="427">
        <f>SUMIFS(RH_ETI_Atividade!$AN$15:$AN$121,RH_ETI_Atividade!$B$15:$B$121,$B69,RH_ETI_Atividade!$C$15:$C$121,$I$53)</f>
        <v>0</v>
      </c>
      <c r="J69" s="427">
        <f>SUMIFS(RH_ETI_Atividade!$AN$15:$AN$121,RH_ETI_Atividade!$B$15:$B$121,I69,RH_ETI_Atividade!$C$15:$C$121,$C$53)</f>
        <v>0</v>
      </c>
      <c r="K69" s="427">
        <f>SUMIFS(RH_ETI_Atividade!$AN$15:$AN$121,RH_ETI_Atividade!$B$15:$B$121,J69,RH_ETI_Atividade!$C$15:$C$121,$C$53)</f>
        <v>0</v>
      </c>
      <c r="L69" s="427">
        <f>SUMIFS(RH_ETI_Atividade!$AN$15:$AN$121,RH_ETI_Atividade!$B$15:$B$121,K69,RH_ETI_Atividade!$C$15:$C$121,$C$53)</f>
        <v>0</v>
      </c>
      <c r="M69" s="427">
        <f>SUMIFS(RH_ETI_Atividade!$AN$15:$AN$121,RH_ETI_Atividade!$B$15:$B$121,L69,RH_ETI_Atividade!$C$15:$C$121,$C$53)</f>
        <v>0</v>
      </c>
      <c r="N69" s="429">
        <f>SUM(C69:M69)</f>
        <v>27.5</v>
      </c>
      <c r="O69" s="513">
        <f>RH_EQUIPA!L35</f>
        <v>27.500000000000007</v>
      </c>
      <c r="S69" s="439"/>
      <c r="T69" s="443"/>
    </row>
    <row r="70" spans="2:20">
      <c r="B70" s="426" t="str">
        <f>'Valores bolsas e 57_2016'!A58</f>
        <v>B2</v>
      </c>
      <c r="C70" s="427">
        <f>SUMIFS(RH_ETI_Atividade!$AN$15:$AN$121,RH_ETI_Atividade!$B$15:$B$121,B70,RH_ETI_Atividade!$C$15:$C$121,$C$53)</f>
        <v>0</v>
      </c>
      <c r="D70" s="427">
        <f>SUMIFS(RH_ETI_Atividade!$AN$15:$AN$121,RH_ETI_Atividade!$B$15:$B$121,B70,RH_ETI_Atividade!$C$15:$C$121,$D$53)</f>
        <v>6</v>
      </c>
      <c r="E70" s="427">
        <f>SUMIFS(RH_ETI_Atividade!$AN$15:$AN$121,RH_ETI_Atividade!$B$15:$B$121,B70,RH_ETI_Atividade!$C$15:$C$121,$E$53)</f>
        <v>6</v>
      </c>
      <c r="F70" s="427">
        <f>SUMIFS(RH_ETI_Atividade!$AN$15:$AN$121,RH_ETI_Atividade!$B$15:$B$121,$B70,RH_ETI_Atividade!$C$15:$C$121,$F$53)</f>
        <v>3</v>
      </c>
      <c r="G70" s="427">
        <f>SUMIFS(RH_ETI_Atividade!$AN$15:$AN$121,RH_ETI_Atividade!$B$15:$B$121,$B70,RH_ETI_Atividade!$C$15:$C$121,$G$53)</f>
        <v>7</v>
      </c>
      <c r="H70" s="427">
        <f>SUMIFS(RH_ETI_Atividade!$AN$15:$AN$121,RH_ETI_Atividade!$B$15:$B$121,$B70,RH_ETI_Atividade!$C$15:$C$121,$H$53)</f>
        <v>5.5</v>
      </c>
      <c r="I70" s="427">
        <f>SUMIFS(RH_ETI_Atividade!$AN$15:$AN$121,RH_ETI_Atividade!$B$15:$B$121,$B70,RH_ETI_Atividade!$C$15:$C$121,$I$53)</f>
        <v>0</v>
      </c>
      <c r="J70" s="427">
        <f>SUMIFS(RH_ETI_Atividade!$AN$15:$AN$121,RH_ETI_Atividade!$B$15:$B$121,$B70,RH_ETI_Atividade!$C$15:$C$121,$J$53)</f>
        <v>0</v>
      </c>
      <c r="K70" s="427">
        <f>SUMIFS(RH_ETI_Atividade!$AN$15:$AN$121,RH_ETI_Atividade!$B$15:$B$121,$B70,RH_ETI_Atividade!$C$15:$C$121,$K$53)</f>
        <v>0</v>
      </c>
      <c r="L70" s="427">
        <f>SUMIFS(RH_ETI_Atividade!$AN$15:$AN$121,RH_ETI_Atividade!$B$15:$B$121,$B70,RH_ETI_Atividade!$C$15:$C$121,$L$53)</f>
        <v>0</v>
      </c>
      <c r="M70" s="427">
        <f>SUMIFS(RH_ETI_Atividade!$AN$15:$AN$121,RH_ETI_Atividade!$B$15:$B$121,$B70,RH_ETI_Atividade!$C$15:$C$121,$M$53)</f>
        <v>0</v>
      </c>
      <c r="N70" s="429">
        <f t="shared" ref="N70:N71" si="13">SUM(C70:M70)</f>
        <v>27.5</v>
      </c>
      <c r="O70" s="513">
        <f>RH_EQUIPA!L36</f>
        <v>27.500000000000007</v>
      </c>
      <c r="S70" s="439"/>
      <c r="T70" s="443"/>
    </row>
    <row r="71" spans="2:20">
      <c r="B71" s="426" t="str">
        <f>'Valores bolsas e 57_2016'!A59</f>
        <v>B3</v>
      </c>
      <c r="C71" s="427">
        <f>SUMIFS(RH_ETI_Atividade!$AN$15:$AN$121,RH_ETI_Atividade!$B$15:$B$121,B71,RH_ETI_Atividade!$C$15:$C$121,$C$53)</f>
        <v>0</v>
      </c>
      <c r="D71" s="427">
        <f>SUMIFS(RH_ETI_Atividade!$AN$15:$AN$121,RH_ETI_Atividade!$B$15:$B$121,B71,RH_ETI_Atividade!$C$15:$C$121,$D$53)</f>
        <v>7</v>
      </c>
      <c r="E71" s="427">
        <f>SUMIFS(RH_ETI_Atividade!$AN$15:$AN$121,RH_ETI_Atividade!$B$15:$B$121,B71,RH_ETI_Atividade!$C$15:$C$121,$E$53)</f>
        <v>6</v>
      </c>
      <c r="F71" s="427">
        <f>SUMIFS(RH_ETI_Atividade!$AN$15:$AN$121,RH_ETI_Atividade!$B$15:$B$121,$B71,RH_ETI_Atividade!$C$15:$C$121,$F$53)</f>
        <v>2</v>
      </c>
      <c r="G71" s="427">
        <f>SUMIFS(RH_ETI_Atividade!$AN$15:$AN$121,RH_ETI_Atividade!$B$15:$B$121,$B71,RH_ETI_Atividade!$C$15:$C$121,$G$53)</f>
        <v>7</v>
      </c>
      <c r="H71" s="427">
        <f>SUMIFS(RH_ETI_Atividade!$AN$15:$AN$121,RH_ETI_Atividade!$B$15:$B$121,$B71,RH_ETI_Atividade!$C$15:$C$121,$H$53)</f>
        <v>5.5</v>
      </c>
      <c r="I71" s="427">
        <f>SUMIFS(RH_ETI_Atividade!$AN$15:$AN$121,RH_ETI_Atividade!$B$15:$B$121,$B71,RH_ETI_Atividade!$C$15:$C$121,$I$53)</f>
        <v>0</v>
      </c>
      <c r="J71" s="427">
        <f>SUMIFS(RH_ETI_Atividade!$AN$15:$AN$121,RH_ETI_Atividade!$B$15:$B$121,$B71,RH_ETI_Atividade!$C$15:$C$121,$J$53)</f>
        <v>0</v>
      </c>
      <c r="K71" s="427">
        <f>SUMIFS(RH_ETI_Atividade!$AN$15:$AN$121,RH_ETI_Atividade!$B$15:$B$121,$B71,RH_ETI_Atividade!$C$15:$C$121,$K$53)</f>
        <v>0</v>
      </c>
      <c r="L71" s="427">
        <f>SUMIFS(RH_ETI_Atividade!$AN$15:$AN$121,RH_ETI_Atividade!$B$15:$B$121,$B71,RH_ETI_Atividade!$C$15:$C$121,$L$53)</f>
        <v>0</v>
      </c>
      <c r="M71" s="427">
        <f>SUMIFS(RH_ETI_Atividade!$AN$15:$AN$121,RH_ETI_Atividade!$B$15:$B$121,$B71,RH_ETI_Atividade!$C$15:$C$121,$M$53)</f>
        <v>0</v>
      </c>
      <c r="N71" s="429">
        <f t="shared" si="13"/>
        <v>27.5</v>
      </c>
      <c r="O71" s="513">
        <f>RH_EQUIPA!L37</f>
        <v>0</v>
      </c>
      <c r="S71" s="439"/>
      <c r="T71" s="443"/>
    </row>
    <row r="72" spans="2:20">
      <c r="B72" s="421" t="str">
        <f>'Valores bolsas e 57_2016'!A60</f>
        <v>B4</v>
      </c>
      <c r="C72" s="427">
        <f>SUMIFS(RH_ETI_Atividade!$AN$15:$AN$121,RH_ETI_Atividade!$B$15:$B$121,B72,RH_ETI_Atividade!$C$15:$C$121,$C$53)</f>
        <v>0</v>
      </c>
      <c r="D72" s="427">
        <f>SUMIFS(RH_ETI_Atividade!$AN$15:$AN$121,RH_ETI_Atividade!$B$15:$B$121,B72,RH_ETI_Atividade!$C$15:$C$121,$D$53)</f>
        <v>0</v>
      </c>
      <c r="E72" s="427">
        <f>SUMIFS(RH_ETI_Atividade!$AN$15:$AN$121,RH_ETI_Atividade!$B$15:$B$121,B72,RH_ETI_Atividade!$C$15:$C$121,$E$53)</f>
        <v>0</v>
      </c>
      <c r="F72" s="427">
        <f>SUMIFS(RH_ETI_Atividade!$AN$15:$AN$121,RH_ETI_Atividade!$B$15:$B$121,$B72,RH_ETI_Atividade!$C$15:$C$121,$F$53)</f>
        <v>0</v>
      </c>
      <c r="G72" s="427">
        <f>SUMIFS(RH_ETI_Atividade!$AN$15:$AN$121,RH_ETI_Atividade!$B$15:$B$121,$B72,RH_ETI_Atividade!$C$15:$C$121,$G$53)</f>
        <v>0</v>
      </c>
      <c r="H72" s="427">
        <f>SUMIFS(RH_ETI_Atividade!$AN$15:$AN$121,RH_ETI_Atividade!$B$15:$B$121,$B72,RH_ETI_Atividade!$C$15:$C$121,$H$53)</f>
        <v>0</v>
      </c>
      <c r="I72" s="427">
        <f>SUMIFS(RH_ETI_Atividade!$AN$15:$AN$121,RH_ETI_Atividade!$B$15:$B$121,$B72,RH_ETI_Atividade!$C$15:$C$121,$I$53)</f>
        <v>0</v>
      </c>
      <c r="J72" s="422">
        <f>SUMIFS(RH_ETI_Atividade!$AN$15:$AN$121,RH_ETI_Atividade!$B$15:$B$121,$B72,RH_ETI_Atividade!$C$15:$C$121,$J$53)</f>
        <v>0</v>
      </c>
      <c r="K72" s="422">
        <f>SUMIFS(RH_ETI_Atividade!$AN$15:$AN$121,RH_ETI_Atividade!$B$15:$B$121,$B72,RH_ETI_Atividade!$C$15:$C$121,$K$53)</f>
        <v>0</v>
      </c>
      <c r="L72" s="422">
        <f>SUMIFS(RH_ETI_Atividade!$AN$15:$AN$121,RH_ETI_Atividade!$B$15:$B$121,$B72,RH_ETI_Atividade!$C$15:$C$121,$L$53)</f>
        <v>0</v>
      </c>
      <c r="M72" s="422">
        <f>SUMIFS(RH_ETI_Atividade!$AN$15:$AN$121,RH_ETI_Atividade!$B$15:$B$121,$B72,RH_ETI_Atividade!$C$15:$C$121,$M$53)</f>
        <v>0</v>
      </c>
      <c r="N72" s="429">
        <f>SUM(C72:M72)</f>
        <v>0</v>
      </c>
      <c r="O72" s="512">
        <f t="shared" si="9"/>
        <v>0</v>
      </c>
      <c r="S72" s="439"/>
      <c r="T72" s="443"/>
    </row>
    <row r="73" spans="2:20" ht="19" thickBot="1">
      <c r="B73" s="416" t="s">
        <v>25</v>
      </c>
      <c r="C73" s="431">
        <f t="shared" ref="C73:O73" si="14">SUM(C54:C72)</f>
        <v>6.75</v>
      </c>
      <c r="D73" s="432">
        <f t="shared" si="14"/>
        <v>26.8</v>
      </c>
      <c r="E73" s="432">
        <f t="shared" si="14"/>
        <v>26.5</v>
      </c>
      <c r="F73" s="432">
        <f t="shared" si="14"/>
        <v>13.5</v>
      </c>
      <c r="G73" s="432">
        <f t="shared" si="14"/>
        <v>34.31</v>
      </c>
      <c r="H73" s="432">
        <f t="shared" si="14"/>
        <v>26.45</v>
      </c>
      <c r="I73" s="432">
        <f t="shared" si="14"/>
        <v>0</v>
      </c>
      <c r="J73" s="432">
        <f t="shared" si="14"/>
        <v>0</v>
      </c>
      <c r="K73" s="432">
        <f t="shared" si="14"/>
        <v>0</v>
      </c>
      <c r="L73" s="432">
        <f t="shared" si="14"/>
        <v>0</v>
      </c>
      <c r="M73" s="432">
        <f t="shared" si="14"/>
        <v>0</v>
      </c>
      <c r="N73" s="433">
        <f>SUM(N54:N72)</f>
        <v>134.31</v>
      </c>
      <c r="O73" s="511">
        <f t="shared" si="14"/>
        <v>134.31</v>
      </c>
      <c r="S73" s="442"/>
      <c r="T73" s="442"/>
    </row>
    <row r="75" spans="2:20">
      <c r="O75" s="521"/>
    </row>
    <row r="77" spans="2:20" ht="18.5">
      <c r="C77" s="753" t="s">
        <v>205</v>
      </c>
      <c r="D77" s="754"/>
      <c r="E77" s="754"/>
      <c r="F77" s="754"/>
      <c r="G77" s="754"/>
      <c r="H77" s="754"/>
      <c r="I77" s="754"/>
      <c r="J77" s="754"/>
      <c r="K77" s="754"/>
      <c r="L77" s="754"/>
      <c r="M77" s="754"/>
    </row>
    <row r="78" spans="2:20" ht="18.5">
      <c r="B78" s="416" t="s">
        <v>183</v>
      </c>
      <c r="C78" s="417" t="s">
        <v>16</v>
      </c>
      <c r="D78" s="418" t="s">
        <v>17</v>
      </c>
      <c r="E78" s="418" t="s">
        <v>18</v>
      </c>
      <c r="F78" s="418" t="s">
        <v>19</v>
      </c>
      <c r="G78" s="418" t="s">
        <v>20</v>
      </c>
      <c r="H78" s="418" t="s">
        <v>21</v>
      </c>
      <c r="I78" s="418" t="s">
        <v>22</v>
      </c>
      <c r="J78" s="418" t="s">
        <v>144</v>
      </c>
      <c r="K78" s="418" t="s">
        <v>145</v>
      </c>
      <c r="L78" s="418" t="s">
        <v>146</v>
      </c>
      <c r="M78" s="418" t="s">
        <v>147</v>
      </c>
      <c r="N78" s="419" t="s">
        <v>25</v>
      </c>
    </row>
    <row r="79" spans="2:20">
      <c r="B79" s="421" t="str">
        <f>+B54</f>
        <v>Ana Cristina Coelho</v>
      </c>
      <c r="C79" s="444">
        <f t="shared" ref="C79:H79" si="15">+C54*$D$14</f>
        <v>15768</v>
      </c>
      <c r="D79" s="444">
        <f t="shared" si="15"/>
        <v>5616</v>
      </c>
      <c r="E79" s="444">
        <f t="shared" si="15"/>
        <v>6480</v>
      </c>
      <c r="F79" s="444">
        <f t="shared" si="15"/>
        <v>8640</v>
      </c>
      <c r="G79" s="444">
        <f t="shared" si="15"/>
        <v>8640</v>
      </c>
      <c r="H79" s="444">
        <f t="shared" si="15"/>
        <v>4752</v>
      </c>
      <c r="I79" s="444">
        <f t="shared" ref="I79:M79" si="16">+I54*$D$14</f>
        <v>0</v>
      </c>
      <c r="J79" s="444">
        <f t="shared" si="16"/>
        <v>0</v>
      </c>
      <c r="K79" s="444">
        <f t="shared" si="16"/>
        <v>0</v>
      </c>
      <c r="L79" s="444">
        <f t="shared" si="16"/>
        <v>0</v>
      </c>
      <c r="M79" s="444">
        <f t="shared" si="16"/>
        <v>0</v>
      </c>
      <c r="N79" s="445">
        <f>SUM(C79:M79)</f>
        <v>49896</v>
      </c>
    </row>
    <row r="80" spans="2:20">
      <c r="B80" s="426" t="str">
        <f t="shared" ref="B80:B96" si="17">+B55</f>
        <v>Ana Maria Costa</v>
      </c>
      <c r="C80" s="446">
        <f t="shared" ref="C80:H96" si="18">+C55*$D$14</f>
        <v>4320</v>
      </c>
      <c r="D80" s="446">
        <f t="shared" si="18"/>
        <v>0</v>
      </c>
      <c r="E80" s="446">
        <f t="shared" si="18"/>
        <v>0</v>
      </c>
      <c r="F80" s="446">
        <f t="shared" si="18"/>
        <v>8640</v>
      </c>
      <c r="G80" s="446">
        <f t="shared" si="18"/>
        <v>4320</v>
      </c>
      <c r="H80" s="446">
        <f t="shared" si="18"/>
        <v>4104</v>
      </c>
      <c r="I80" s="446">
        <f t="shared" ref="I80:M80" si="19">+I55*$D$14</f>
        <v>0</v>
      </c>
      <c r="J80" s="446">
        <f t="shared" si="19"/>
        <v>0</v>
      </c>
      <c r="K80" s="446">
        <f t="shared" si="19"/>
        <v>0</v>
      </c>
      <c r="L80" s="446">
        <f t="shared" si="19"/>
        <v>0</v>
      </c>
      <c r="M80" s="446">
        <f t="shared" si="19"/>
        <v>0</v>
      </c>
      <c r="N80" s="447">
        <f t="shared" ref="N80:N96" si="20">SUM(C80:M80)</f>
        <v>21384</v>
      </c>
    </row>
    <row r="81" spans="2:14">
      <c r="B81" s="426" t="str">
        <f t="shared" si="17"/>
        <v>Cristina Veiga-Pires</v>
      </c>
      <c r="C81" s="446">
        <f t="shared" si="18"/>
        <v>4320</v>
      </c>
      <c r="D81" s="446">
        <f t="shared" si="18"/>
        <v>0</v>
      </c>
      <c r="E81" s="446">
        <f t="shared" si="18"/>
        <v>8640</v>
      </c>
      <c r="F81" s="446">
        <f t="shared" si="18"/>
        <v>0</v>
      </c>
      <c r="G81" s="446">
        <f t="shared" si="18"/>
        <v>4320</v>
      </c>
      <c r="H81" s="446">
        <f t="shared" si="18"/>
        <v>4104</v>
      </c>
      <c r="I81" s="446">
        <f t="shared" ref="I81:M81" si="21">+I56*$D$14</f>
        <v>0</v>
      </c>
      <c r="J81" s="446">
        <f t="shared" si="21"/>
        <v>0</v>
      </c>
      <c r="K81" s="446">
        <f t="shared" si="21"/>
        <v>0</v>
      </c>
      <c r="L81" s="446">
        <f t="shared" si="21"/>
        <v>0</v>
      </c>
      <c r="M81" s="446">
        <f t="shared" si="21"/>
        <v>0</v>
      </c>
      <c r="N81" s="447">
        <f t="shared" si="20"/>
        <v>21384</v>
      </c>
    </row>
    <row r="82" spans="2:14">
      <c r="B82" s="426" t="str">
        <f t="shared" si="17"/>
        <v>Jorge Semião</v>
      </c>
      <c r="C82" s="446">
        <f t="shared" si="18"/>
        <v>0</v>
      </c>
      <c r="D82" s="446">
        <f t="shared" si="18"/>
        <v>4320</v>
      </c>
      <c r="E82" s="446">
        <f t="shared" si="18"/>
        <v>0</v>
      </c>
      <c r="F82" s="446">
        <f t="shared" si="18"/>
        <v>0</v>
      </c>
      <c r="G82" s="446">
        <f t="shared" si="18"/>
        <v>2807.9999999999995</v>
      </c>
      <c r="H82" s="446">
        <f t="shared" si="18"/>
        <v>0</v>
      </c>
      <c r="I82" s="446">
        <f t="shared" ref="I82:M82" si="22">+I57*$D$14</f>
        <v>0</v>
      </c>
      <c r="J82" s="446">
        <f t="shared" si="22"/>
        <v>0</v>
      </c>
      <c r="K82" s="446">
        <f t="shared" si="22"/>
        <v>0</v>
      </c>
      <c r="L82" s="446">
        <f t="shared" si="22"/>
        <v>0</v>
      </c>
      <c r="M82" s="446">
        <f t="shared" si="22"/>
        <v>0</v>
      </c>
      <c r="N82" s="447">
        <f t="shared" si="20"/>
        <v>7128</v>
      </c>
    </row>
    <row r="83" spans="2:14">
      <c r="B83" s="426" t="str">
        <f t="shared" si="17"/>
        <v>Jânio Monteiro</v>
      </c>
      <c r="C83" s="446">
        <f t="shared" si="18"/>
        <v>0</v>
      </c>
      <c r="D83" s="446">
        <f t="shared" si="18"/>
        <v>0</v>
      </c>
      <c r="E83" s="446">
        <f t="shared" si="18"/>
        <v>4320</v>
      </c>
      <c r="F83" s="446">
        <f t="shared" si="18"/>
        <v>0</v>
      </c>
      <c r="G83" s="446">
        <f t="shared" si="18"/>
        <v>2808</v>
      </c>
      <c r="H83" s="446">
        <f t="shared" si="18"/>
        <v>0</v>
      </c>
      <c r="I83" s="446">
        <f t="shared" ref="I83:M83" si="23">+I58*$D$14</f>
        <v>0</v>
      </c>
      <c r="J83" s="446">
        <f t="shared" si="23"/>
        <v>0</v>
      </c>
      <c r="K83" s="446">
        <f t="shared" si="23"/>
        <v>0</v>
      </c>
      <c r="L83" s="446">
        <f t="shared" si="23"/>
        <v>0</v>
      </c>
      <c r="M83" s="446">
        <f t="shared" si="23"/>
        <v>0</v>
      </c>
      <c r="N83" s="447">
        <f t="shared" si="20"/>
        <v>7128</v>
      </c>
    </row>
    <row r="84" spans="2:14">
      <c r="B84" s="426" t="str">
        <f t="shared" si="17"/>
        <v>Pedro cardoso</v>
      </c>
      <c r="C84" s="446">
        <f t="shared" si="18"/>
        <v>0</v>
      </c>
      <c r="D84" s="446">
        <f t="shared" si="18"/>
        <v>0</v>
      </c>
      <c r="E84" s="446">
        <f t="shared" si="18"/>
        <v>0</v>
      </c>
      <c r="F84" s="446">
        <f t="shared" si="18"/>
        <v>0</v>
      </c>
      <c r="G84" s="446">
        <f t="shared" si="18"/>
        <v>7128</v>
      </c>
      <c r="H84" s="446">
        <f t="shared" si="18"/>
        <v>0</v>
      </c>
      <c r="I84" s="446">
        <f t="shared" ref="I84:M84" si="24">+I59*$D$14</f>
        <v>0</v>
      </c>
      <c r="J84" s="446">
        <f t="shared" si="24"/>
        <v>0</v>
      </c>
      <c r="K84" s="446">
        <f t="shared" si="24"/>
        <v>0</v>
      </c>
      <c r="L84" s="446">
        <f t="shared" si="24"/>
        <v>0</v>
      </c>
      <c r="M84" s="446">
        <f t="shared" si="24"/>
        <v>0</v>
      </c>
      <c r="N84" s="447">
        <f t="shared" si="20"/>
        <v>7128</v>
      </c>
    </row>
    <row r="85" spans="2:14">
      <c r="B85" s="426" t="str">
        <f t="shared" si="17"/>
        <v>Roberto Lam</v>
      </c>
      <c r="C85" s="446">
        <f t="shared" si="18"/>
        <v>0</v>
      </c>
      <c r="D85" s="446">
        <f t="shared" si="18"/>
        <v>4320</v>
      </c>
      <c r="E85" s="446">
        <f t="shared" si="18"/>
        <v>0</v>
      </c>
      <c r="F85" s="446">
        <f t="shared" si="18"/>
        <v>0</v>
      </c>
      <c r="G85" s="446">
        <f t="shared" si="18"/>
        <v>2808</v>
      </c>
      <c r="H85" s="446">
        <f t="shared" si="18"/>
        <v>0</v>
      </c>
      <c r="I85" s="446">
        <f t="shared" ref="I85:M85" si="25">+I60*$D$14</f>
        <v>0</v>
      </c>
      <c r="J85" s="446">
        <f t="shared" si="25"/>
        <v>0</v>
      </c>
      <c r="K85" s="446">
        <f t="shared" si="25"/>
        <v>0</v>
      </c>
      <c r="L85" s="446">
        <f t="shared" si="25"/>
        <v>0</v>
      </c>
      <c r="M85" s="446">
        <f t="shared" si="25"/>
        <v>0</v>
      </c>
      <c r="N85" s="447">
        <f t="shared" si="20"/>
        <v>7128</v>
      </c>
    </row>
    <row r="86" spans="2:14">
      <c r="B86" s="426" t="str">
        <f t="shared" si="17"/>
        <v>Cristiano Cabrita</v>
      </c>
      <c r="C86" s="446">
        <f t="shared" si="18"/>
        <v>0</v>
      </c>
      <c r="D86" s="446">
        <f t="shared" si="18"/>
        <v>4320</v>
      </c>
      <c r="E86" s="446">
        <f t="shared" si="18"/>
        <v>0</v>
      </c>
      <c r="F86" s="446">
        <f t="shared" si="18"/>
        <v>0</v>
      </c>
      <c r="G86" s="446">
        <f t="shared" si="18"/>
        <v>2808</v>
      </c>
      <c r="H86" s="446">
        <f t="shared" si="18"/>
        <v>0</v>
      </c>
      <c r="I86" s="446">
        <f t="shared" ref="I86:M86" si="26">+I61*$D$14</f>
        <v>0</v>
      </c>
      <c r="J86" s="446">
        <f t="shared" si="26"/>
        <v>0</v>
      </c>
      <c r="K86" s="446">
        <f t="shared" si="26"/>
        <v>0</v>
      </c>
      <c r="L86" s="446">
        <f t="shared" si="26"/>
        <v>0</v>
      </c>
      <c r="M86" s="446">
        <f t="shared" si="26"/>
        <v>0</v>
      </c>
      <c r="N86" s="447">
        <f t="shared" si="20"/>
        <v>7128</v>
      </c>
    </row>
    <row r="87" spans="2:14">
      <c r="B87" s="426" t="str">
        <f t="shared" si="17"/>
        <v>Jaime Martins</v>
      </c>
      <c r="C87" s="446">
        <f t="shared" si="18"/>
        <v>0</v>
      </c>
      <c r="D87" s="446">
        <f t="shared" si="18"/>
        <v>0</v>
      </c>
      <c r="E87" s="446">
        <f t="shared" si="18"/>
        <v>0</v>
      </c>
      <c r="F87" s="446">
        <f t="shared" si="18"/>
        <v>0</v>
      </c>
      <c r="G87" s="446">
        <f t="shared" si="18"/>
        <v>7128</v>
      </c>
      <c r="H87" s="446">
        <f t="shared" si="18"/>
        <v>0</v>
      </c>
      <c r="I87" s="446">
        <f t="shared" ref="I87:M87" si="27">+I62*$D$14</f>
        <v>0</v>
      </c>
      <c r="J87" s="446">
        <f t="shared" si="27"/>
        <v>0</v>
      </c>
      <c r="K87" s="446">
        <f t="shared" si="27"/>
        <v>0</v>
      </c>
      <c r="L87" s="446">
        <f t="shared" si="27"/>
        <v>0</v>
      </c>
      <c r="M87" s="446">
        <f t="shared" si="27"/>
        <v>0</v>
      </c>
      <c r="N87" s="447">
        <f t="shared" ref="N87:N90" si="28">SUM(C87:M87)</f>
        <v>7128</v>
      </c>
    </row>
    <row r="88" spans="2:14">
      <c r="B88" s="426" t="str">
        <f t="shared" si="17"/>
        <v>Paulo Silva</v>
      </c>
      <c r="C88" s="446">
        <f t="shared" si="18"/>
        <v>0</v>
      </c>
      <c r="D88" s="446">
        <f t="shared" si="18"/>
        <v>8640</v>
      </c>
      <c r="E88" s="446">
        <f t="shared" si="18"/>
        <v>8640</v>
      </c>
      <c r="F88" s="446">
        <f t="shared" si="18"/>
        <v>0</v>
      </c>
      <c r="G88" s="446">
        <f t="shared" si="18"/>
        <v>4104</v>
      </c>
      <c r="H88" s="446">
        <f t="shared" si="18"/>
        <v>0</v>
      </c>
      <c r="I88" s="446">
        <f t="shared" ref="I88:M88" si="29">+I63*$D$14</f>
        <v>0</v>
      </c>
      <c r="J88" s="446">
        <f t="shared" si="29"/>
        <v>0</v>
      </c>
      <c r="K88" s="446">
        <f t="shared" si="29"/>
        <v>0</v>
      </c>
      <c r="L88" s="446">
        <f t="shared" si="29"/>
        <v>0</v>
      </c>
      <c r="M88" s="446">
        <f t="shared" si="29"/>
        <v>0</v>
      </c>
      <c r="N88" s="447">
        <f t="shared" si="28"/>
        <v>21384</v>
      </c>
    </row>
    <row r="89" spans="2:14">
      <c r="B89" s="426" t="str">
        <f t="shared" si="17"/>
        <v>João Rodrigues</v>
      </c>
      <c r="C89" s="446">
        <f t="shared" si="18"/>
        <v>0</v>
      </c>
      <c r="D89" s="446">
        <f t="shared" si="18"/>
        <v>0</v>
      </c>
      <c r="E89" s="446">
        <f t="shared" si="18"/>
        <v>0</v>
      </c>
      <c r="F89" s="446">
        <f t="shared" si="18"/>
        <v>0</v>
      </c>
      <c r="G89" s="446">
        <f t="shared" si="18"/>
        <v>2851.2</v>
      </c>
      <c r="H89" s="446">
        <f t="shared" si="18"/>
        <v>0</v>
      </c>
      <c r="I89" s="446">
        <f t="shared" ref="I89:M89" si="30">+I64*$D$14</f>
        <v>0</v>
      </c>
      <c r="J89" s="446">
        <f t="shared" si="30"/>
        <v>0</v>
      </c>
      <c r="K89" s="446">
        <f t="shared" si="30"/>
        <v>0</v>
      </c>
      <c r="L89" s="446">
        <f t="shared" si="30"/>
        <v>0</v>
      </c>
      <c r="M89" s="446">
        <f t="shared" si="30"/>
        <v>0</v>
      </c>
      <c r="N89" s="447">
        <f t="shared" si="28"/>
        <v>2851.2</v>
      </c>
    </row>
    <row r="90" spans="2:14">
      <c r="B90" s="426" t="str">
        <f t="shared" si="17"/>
        <v>Joana Lessa</v>
      </c>
      <c r="C90" s="446">
        <f t="shared" si="18"/>
        <v>4752</v>
      </c>
      <c r="D90" s="446">
        <f t="shared" si="18"/>
        <v>0</v>
      </c>
      <c r="E90" s="446">
        <f t="shared" si="18"/>
        <v>0</v>
      </c>
      <c r="F90" s="446">
        <f t="shared" si="18"/>
        <v>0</v>
      </c>
      <c r="G90" s="446">
        <f t="shared" si="18"/>
        <v>0</v>
      </c>
      <c r="H90" s="446">
        <f t="shared" si="18"/>
        <v>23760</v>
      </c>
      <c r="I90" s="446">
        <f t="shared" ref="I90:M90" si="31">+I65*$D$14</f>
        <v>0</v>
      </c>
      <c r="J90" s="446">
        <f t="shared" si="31"/>
        <v>0</v>
      </c>
      <c r="K90" s="446">
        <f t="shared" si="31"/>
        <v>0</v>
      </c>
      <c r="L90" s="446">
        <f t="shared" si="31"/>
        <v>0</v>
      </c>
      <c r="M90" s="446">
        <f t="shared" si="31"/>
        <v>0</v>
      </c>
      <c r="N90" s="447">
        <f t="shared" si="28"/>
        <v>28512</v>
      </c>
    </row>
    <row r="91" spans="2:14">
      <c r="B91" s="426" t="str">
        <f t="shared" si="17"/>
        <v>José Moreira</v>
      </c>
      <c r="C91" s="446">
        <f t="shared" si="18"/>
        <v>0</v>
      </c>
      <c r="D91" s="446">
        <f t="shared" si="18"/>
        <v>0</v>
      </c>
      <c r="E91" s="446">
        <f t="shared" si="18"/>
        <v>0</v>
      </c>
      <c r="F91" s="446">
        <f t="shared" si="18"/>
        <v>6480</v>
      </c>
      <c r="G91" s="446">
        <f t="shared" si="18"/>
        <v>6480</v>
      </c>
      <c r="H91" s="446">
        <f t="shared" si="18"/>
        <v>8424</v>
      </c>
      <c r="I91" s="446">
        <f t="shared" ref="I91:M91" si="32">+I66*$D$14</f>
        <v>0</v>
      </c>
      <c r="J91" s="446">
        <f t="shared" si="32"/>
        <v>0</v>
      </c>
      <c r="K91" s="446">
        <f t="shared" si="32"/>
        <v>0</v>
      </c>
      <c r="L91" s="446">
        <f t="shared" si="32"/>
        <v>0</v>
      </c>
      <c r="M91" s="446">
        <f t="shared" si="32"/>
        <v>0</v>
      </c>
      <c r="N91" s="447">
        <f t="shared" ref="N91" si="33">SUM(C91:M91)</f>
        <v>21384</v>
      </c>
    </row>
    <row r="92" spans="2:14">
      <c r="B92" s="426" t="str">
        <f t="shared" si="17"/>
        <v>Joel Guerreiro</v>
      </c>
      <c r="C92" s="446">
        <f t="shared" si="18"/>
        <v>0</v>
      </c>
      <c r="D92" s="446">
        <f t="shared" si="18"/>
        <v>6480</v>
      </c>
      <c r="E92" s="446">
        <f t="shared" si="18"/>
        <v>0</v>
      </c>
      <c r="F92" s="446">
        <f t="shared" si="18"/>
        <v>0</v>
      </c>
      <c r="G92" s="446">
        <f t="shared" si="18"/>
        <v>7776</v>
      </c>
      <c r="H92" s="446">
        <f t="shared" si="18"/>
        <v>0</v>
      </c>
      <c r="I92" s="446">
        <f t="shared" ref="I92:M92" si="34">+I67*$D$14</f>
        <v>0</v>
      </c>
      <c r="J92" s="446">
        <f t="shared" si="34"/>
        <v>0</v>
      </c>
      <c r="K92" s="446">
        <f t="shared" si="34"/>
        <v>0</v>
      </c>
      <c r="L92" s="446">
        <f t="shared" si="34"/>
        <v>0</v>
      </c>
      <c r="M92" s="446">
        <f t="shared" si="34"/>
        <v>0</v>
      </c>
      <c r="N92" s="447">
        <f t="shared" ref="N92" si="35">SUM(C92:M92)</f>
        <v>14256</v>
      </c>
    </row>
    <row r="93" spans="2:14">
      <c r="B93" s="426" t="str">
        <f t="shared" si="17"/>
        <v/>
      </c>
      <c r="C93" s="446">
        <f t="shared" si="18"/>
        <v>0</v>
      </c>
      <c r="D93" s="446">
        <f t="shared" si="18"/>
        <v>0</v>
      </c>
      <c r="E93" s="446">
        <f t="shared" si="18"/>
        <v>0</v>
      </c>
      <c r="F93" s="446">
        <f t="shared" si="18"/>
        <v>0</v>
      </c>
      <c r="G93" s="446">
        <f t="shared" si="18"/>
        <v>0</v>
      </c>
      <c r="H93" s="446">
        <f t="shared" si="18"/>
        <v>0</v>
      </c>
      <c r="I93" s="446">
        <f t="shared" ref="I93:M93" si="36">+I68*$D$14</f>
        <v>0</v>
      </c>
      <c r="J93" s="446">
        <f t="shared" si="36"/>
        <v>0</v>
      </c>
      <c r="K93" s="446">
        <f t="shared" si="36"/>
        <v>0</v>
      </c>
      <c r="L93" s="446">
        <f t="shared" si="36"/>
        <v>0</v>
      </c>
      <c r="M93" s="446">
        <f t="shared" si="36"/>
        <v>0</v>
      </c>
      <c r="N93" s="447">
        <f t="shared" si="20"/>
        <v>0</v>
      </c>
    </row>
    <row r="94" spans="2:14">
      <c r="B94" s="426" t="str">
        <f t="shared" si="17"/>
        <v>B1</v>
      </c>
      <c r="C94" s="446">
        <f t="shared" si="18"/>
        <v>0</v>
      </c>
      <c r="D94" s="446">
        <f t="shared" si="18"/>
        <v>25920</v>
      </c>
      <c r="E94" s="446">
        <f t="shared" si="18"/>
        <v>34560</v>
      </c>
      <c r="F94" s="446">
        <f t="shared" si="18"/>
        <v>12960</v>
      </c>
      <c r="G94" s="446">
        <f t="shared" si="18"/>
        <v>23760</v>
      </c>
      <c r="H94" s="446">
        <f t="shared" si="18"/>
        <v>21600</v>
      </c>
      <c r="I94" s="446">
        <f t="shared" ref="I94:M94" si="37">+I69*$D$14</f>
        <v>0</v>
      </c>
      <c r="J94" s="446">
        <f t="shared" si="37"/>
        <v>0</v>
      </c>
      <c r="K94" s="446">
        <f t="shared" si="37"/>
        <v>0</v>
      </c>
      <c r="L94" s="446">
        <f t="shared" si="37"/>
        <v>0</v>
      </c>
      <c r="M94" s="446">
        <f t="shared" si="37"/>
        <v>0</v>
      </c>
      <c r="N94" s="447">
        <f t="shared" si="20"/>
        <v>118800</v>
      </c>
    </row>
    <row r="95" spans="2:14">
      <c r="B95" s="426" t="str">
        <f t="shared" si="17"/>
        <v>B2</v>
      </c>
      <c r="C95" s="446">
        <f t="shared" si="18"/>
        <v>0</v>
      </c>
      <c r="D95" s="446">
        <f t="shared" si="18"/>
        <v>25920</v>
      </c>
      <c r="E95" s="446">
        <f t="shared" si="18"/>
        <v>25920</v>
      </c>
      <c r="F95" s="446">
        <f t="shared" si="18"/>
        <v>12960</v>
      </c>
      <c r="G95" s="446">
        <f t="shared" si="18"/>
        <v>30240</v>
      </c>
      <c r="H95" s="446">
        <f t="shared" si="18"/>
        <v>23760</v>
      </c>
      <c r="I95" s="446">
        <f t="shared" ref="I95:M95" si="38">+I70*$D$14</f>
        <v>0</v>
      </c>
      <c r="J95" s="446">
        <f t="shared" si="38"/>
        <v>0</v>
      </c>
      <c r="K95" s="446">
        <f t="shared" si="38"/>
        <v>0</v>
      </c>
      <c r="L95" s="446">
        <f t="shared" si="38"/>
        <v>0</v>
      </c>
      <c r="M95" s="446">
        <f t="shared" si="38"/>
        <v>0</v>
      </c>
      <c r="N95" s="447">
        <f t="shared" si="20"/>
        <v>118800</v>
      </c>
    </row>
    <row r="96" spans="2:14">
      <c r="B96" s="421" t="str">
        <f t="shared" si="17"/>
        <v>B3</v>
      </c>
      <c r="C96" s="444">
        <f t="shared" si="18"/>
        <v>0</v>
      </c>
      <c r="D96" s="444">
        <f t="shared" si="18"/>
        <v>30240</v>
      </c>
      <c r="E96" s="444">
        <f t="shared" si="18"/>
        <v>25920</v>
      </c>
      <c r="F96" s="444">
        <f t="shared" si="18"/>
        <v>8640</v>
      </c>
      <c r="G96" s="444">
        <f t="shared" si="18"/>
        <v>30240</v>
      </c>
      <c r="H96" s="444">
        <f t="shared" si="18"/>
        <v>23760</v>
      </c>
      <c r="I96" s="444">
        <f t="shared" ref="I96:M96" si="39">+I72*$D$14</f>
        <v>0</v>
      </c>
      <c r="J96" s="444">
        <f t="shared" si="39"/>
        <v>0</v>
      </c>
      <c r="K96" s="444">
        <f t="shared" si="39"/>
        <v>0</v>
      </c>
      <c r="L96" s="444">
        <f t="shared" si="39"/>
        <v>0</v>
      </c>
      <c r="M96" s="444">
        <f t="shared" si="39"/>
        <v>0</v>
      </c>
      <c r="N96" s="445">
        <f t="shared" si="20"/>
        <v>118800</v>
      </c>
    </row>
    <row r="97" spans="2:14" ht="19" thickBot="1">
      <c r="B97" s="416" t="s">
        <v>25</v>
      </c>
      <c r="C97" s="448">
        <f>SUM(C79:C96)</f>
        <v>29160</v>
      </c>
      <c r="D97" s="449">
        <f t="shared" ref="D97:M97" si="40">SUM(D79:D96)</f>
        <v>115776</v>
      </c>
      <c r="E97" s="449">
        <f t="shared" si="40"/>
        <v>114480</v>
      </c>
      <c r="F97" s="449">
        <f t="shared" si="40"/>
        <v>58320</v>
      </c>
      <c r="G97" s="449">
        <f t="shared" si="40"/>
        <v>148219.20000000001</v>
      </c>
      <c r="H97" s="449">
        <f t="shared" si="40"/>
        <v>114264</v>
      </c>
      <c r="I97" s="449">
        <f t="shared" si="40"/>
        <v>0</v>
      </c>
      <c r="J97" s="449">
        <f t="shared" si="40"/>
        <v>0</v>
      </c>
      <c r="K97" s="449">
        <f t="shared" si="40"/>
        <v>0</v>
      </c>
      <c r="L97" s="449">
        <f t="shared" si="40"/>
        <v>0</v>
      </c>
      <c r="M97" s="449">
        <f t="shared" si="40"/>
        <v>0</v>
      </c>
      <c r="N97" s="450">
        <f>SUM(N79:N96)</f>
        <v>580219.19999999995</v>
      </c>
    </row>
  </sheetData>
  <sheetProtection selectLockedCells="1"/>
  <mergeCells count="3">
    <mergeCell ref="C52:M52"/>
    <mergeCell ref="C77:M77"/>
    <mergeCell ref="C16:G16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8:BJ84"/>
  <sheetViews>
    <sheetView topLeftCell="F13" workbookViewId="0">
      <selection activeCell="P40" sqref="P40"/>
    </sheetView>
  </sheetViews>
  <sheetFormatPr defaultColWidth="8.81640625" defaultRowHeight="14.5"/>
  <cols>
    <col min="1" max="1" width="2.7265625" style="580" customWidth="1"/>
    <col min="2" max="2" width="3" style="580" customWidth="1"/>
    <col min="3" max="3" width="1.81640625" style="580" customWidth="1"/>
    <col min="4" max="4" width="12.81640625" style="580" customWidth="1"/>
    <col min="5" max="5" width="8.81640625" style="581"/>
    <col min="6" max="6" width="25.54296875" style="582" customWidth="1"/>
    <col min="7" max="7" width="35.81640625" style="582" customWidth="1"/>
    <col min="8" max="8" width="12.1796875" style="582" customWidth="1"/>
    <col min="9" max="9" width="11.453125" style="582" customWidth="1"/>
    <col min="10" max="10" width="13.1796875" style="582" customWidth="1"/>
    <col min="11" max="11" width="0.1796875" style="582" customWidth="1"/>
    <col min="12" max="12" width="12.453125" style="582" customWidth="1"/>
    <col min="13" max="13" width="10" style="582" customWidth="1"/>
    <col min="14" max="14" width="15.26953125" style="582" customWidth="1"/>
    <col min="15" max="15" width="13.453125" style="582" customWidth="1"/>
    <col min="16" max="21" width="14.81640625" style="582" customWidth="1"/>
    <col min="22" max="22" width="10.81640625" style="582" customWidth="1"/>
    <col min="23" max="27" width="8.81640625" style="582"/>
    <col min="28" max="29" width="20.7265625" style="582" customWidth="1"/>
    <col min="30" max="30" width="2.26953125" style="582" customWidth="1"/>
    <col min="31" max="32" width="20.81640625" style="582" customWidth="1"/>
    <col min="33" max="34" width="8.81640625" style="582"/>
    <col min="35" max="35" width="15" style="582" customWidth="1"/>
    <col min="36" max="36" width="8.81640625" style="582"/>
    <col min="37" max="37" width="8.453125" style="582" customWidth="1"/>
    <col min="38" max="38" width="11.453125" style="582" customWidth="1"/>
    <col min="39" max="44" width="10.453125" style="582" customWidth="1"/>
    <col min="45" max="60" width="9.453125" style="582" customWidth="1"/>
    <col min="61" max="61" width="16.26953125" style="582" customWidth="1"/>
    <col min="62" max="16384" width="8.81640625" style="582"/>
  </cols>
  <sheetData>
    <row r="8" spans="1:30" ht="23.5">
      <c r="E8" s="583" t="s">
        <v>218</v>
      </c>
    </row>
    <row r="9" spans="1:30" ht="20.25" customHeight="1">
      <c r="A9" s="582"/>
      <c r="B9" s="584"/>
      <c r="C9" s="584"/>
      <c r="D9" s="582"/>
      <c r="E9" s="585" t="s">
        <v>243</v>
      </c>
      <c r="F9" s="585"/>
    </row>
    <row r="10" spans="1:30" ht="20.25" customHeight="1">
      <c r="A10" s="582"/>
      <c r="B10" s="584"/>
      <c r="C10" s="584"/>
      <c r="D10" s="582"/>
      <c r="E10" s="585"/>
      <c r="F10" s="585"/>
      <c r="J10" s="582">
        <f>YEAR(J18)</f>
        <v>2026</v>
      </c>
      <c r="K10" s="582">
        <f>YEAR(L18)</f>
        <v>2029</v>
      </c>
    </row>
    <row r="11" spans="1:30" ht="20.25" customHeight="1">
      <c r="A11" s="582"/>
      <c r="B11" s="584"/>
      <c r="C11" s="584"/>
      <c r="D11" s="582"/>
    </row>
    <row r="12" spans="1:30" ht="27" customHeight="1">
      <c r="A12" s="582"/>
      <c r="B12" s="586"/>
      <c r="C12" s="586"/>
      <c r="D12" s="582"/>
      <c r="E12" s="766" t="s">
        <v>244</v>
      </c>
      <c r="F12" s="766"/>
      <c r="G12" s="766"/>
      <c r="H12" s="766"/>
      <c r="I12" s="766"/>
      <c r="J12" s="766"/>
      <c r="K12" s="587"/>
      <c r="L12" s="587"/>
      <c r="M12" s="587"/>
      <c r="N12" s="587"/>
      <c r="O12" s="587"/>
      <c r="P12" s="587"/>
      <c r="Q12" s="587"/>
      <c r="R12" s="587"/>
      <c r="S12" s="587"/>
      <c r="T12" s="587"/>
      <c r="U12" s="587"/>
    </row>
    <row r="13" spans="1:30" ht="52.5" customHeight="1">
      <c r="A13" s="582"/>
      <c r="B13" s="586"/>
      <c r="C13" s="586"/>
      <c r="D13" s="582"/>
      <c r="E13" s="766"/>
      <c r="F13" s="766"/>
      <c r="G13" s="766"/>
      <c r="H13" s="766"/>
      <c r="I13" s="766"/>
      <c r="J13" s="766"/>
      <c r="K13" s="587"/>
      <c r="L13" s="587"/>
      <c r="M13" s="587"/>
      <c r="N13" s="587"/>
      <c r="O13" s="587"/>
      <c r="P13" s="587"/>
      <c r="Q13" s="587"/>
      <c r="R13" s="587"/>
      <c r="S13" s="587"/>
      <c r="T13" s="587"/>
      <c r="U13" s="587"/>
    </row>
    <row r="14" spans="1:30" ht="21" customHeight="1">
      <c r="A14" s="582"/>
      <c r="B14" s="586"/>
      <c r="C14" s="586"/>
      <c r="D14" s="582"/>
      <c r="E14" s="766"/>
      <c r="F14" s="766"/>
      <c r="G14" s="766"/>
      <c r="H14" s="766"/>
      <c r="I14" s="766"/>
      <c r="J14" s="766"/>
      <c r="K14" s="587"/>
      <c r="L14" s="587"/>
      <c r="M14" s="587"/>
      <c r="N14" s="587"/>
      <c r="O14" s="587"/>
      <c r="P14" s="587"/>
      <c r="Q14" s="587"/>
      <c r="R14" s="587"/>
      <c r="S14" s="587"/>
      <c r="T14" s="587"/>
      <c r="U14" s="587"/>
    </row>
    <row r="15" spans="1:30" ht="20.25" customHeight="1" thickBot="1">
      <c r="A15" s="582"/>
      <c r="B15" s="586"/>
      <c r="C15" s="586"/>
      <c r="D15" s="608"/>
      <c r="E15" s="609"/>
      <c r="F15" s="608"/>
      <c r="G15" s="608"/>
      <c r="H15" s="608"/>
      <c r="I15" s="608"/>
      <c r="J15" s="608"/>
      <c r="K15" s="608"/>
      <c r="L15" s="608"/>
      <c r="M15" s="608"/>
      <c r="N15" s="608"/>
      <c r="O15" s="608"/>
      <c r="P15" s="608"/>
      <c r="Q15" s="608"/>
      <c r="R15" s="608"/>
      <c r="S15" s="608"/>
      <c r="T15" s="608"/>
      <c r="U15" s="608"/>
    </row>
    <row r="16" spans="1:30" ht="24" customHeight="1">
      <c r="C16" s="593"/>
      <c r="D16" s="767" t="s">
        <v>245</v>
      </c>
      <c r="E16" s="763" t="s">
        <v>246</v>
      </c>
      <c r="F16" s="763" t="s">
        <v>14</v>
      </c>
      <c r="G16" s="763" t="s">
        <v>247</v>
      </c>
      <c r="H16" s="763" t="s">
        <v>248</v>
      </c>
      <c r="I16" s="763" t="s">
        <v>249</v>
      </c>
      <c r="J16" s="763" t="s">
        <v>250</v>
      </c>
      <c r="K16" s="763"/>
      <c r="L16" s="763"/>
      <c r="M16" s="763" t="s">
        <v>251</v>
      </c>
      <c r="N16" s="763" t="s">
        <v>252</v>
      </c>
      <c r="O16" s="763" t="s">
        <v>253</v>
      </c>
      <c r="P16" s="763" t="s">
        <v>254</v>
      </c>
      <c r="Q16" s="763" t="s">
        <v>255</v>
      </c>
      <c r="R16" s="646">
        <v>2026</v>
      </c>
      <c r="S16" s="646">
        <f>R16+1</f>
        <v>2027</v>
      </c>
      <c r="T16" s="646">
        <f>S16+1</f>
        <v>2028</v>
      </c>
      <c r="U16" s="647">
        <f>T16+1</f>
        <v>2029</v>
      </c>
      <c r="V16" s="606"/>
      <c r="AB16" s="596"/>
      <c r="AD16" s="597"/>
    </row>
    <row r="17" spans="1:62" ht="18.75" customHeight="1">
      <c r="C17" s="593"/>
      <c r="D17" s="768"/>
      <c r="E17" s="764"/>
      <c r="F17" s="764"/>
      <c r="G17" s="764"/>
      <c r="H17" s="764"/>
      <c r="I17" s="764"/>
      <c r="J17" s="648" t="s">
        <v>256</v>
      </c>
      <c r="K17" s="648"/>
      <c r="L17" s="648" t="s">
        <v>257</v>
      </c>
      <c r="M17" s="764"/>
      <c r="N17" s="764"/>
      <c r="O17" s="764"/>
      <c r="P17" s="764"/>
      <c r="Q17" s="764"/>
      <c r="R17" s="764" t="s">
        <v>258</v>
      </c>
      <c r="S17" s="764"/>
      <c r="T17" s="764"/>
      <c r="U17" s="765"/>
      <c r="V17" s="606"/>
      <c r="AB17" s="597"/>
      <c r="AM17" s="597"/>
      <c r="AN17" s="597"/>
    </row>
    <row r="18" spans="1:62" s="588" customFormat="1" ht="15" customHeight="1">
      <c r="A18" s="580"/>
      <c r="B18" s="580"/>
      <c r="C18" s="593"/>
      <c r="D18" s="633">
        <v>1000</v>
      </c>
      <c r="E18" s="634">
        <f t="shared" ref="E18:E38" si="0">IF(F18&lt;&gt;"",E17+1,"")</f>
        <v>1</v>
      </c>
      <c r="F18" s="635" t="s">
        <v>259</v>
      </c>
      <c r="G18" s="636" t="str">
        <f t="shared" ref="G18:G38" si="1">IF(F18="","","Instrumentos e equipamento científico")</f>
        <v>Instrumentos e equipamento científico</v>
      </c>
      <c r="H18" s="637">
        <v>30000</v>
      </c>
      <c r="I18" s="638">
        <v>1</v>
      </c>
      <c r="J18" s="639">
        <v>46296</v>
      </c>
      <c r="K18" s="634">
        <f>+IF(J18&lt;&gt;"",YEAR(J18),"")</f>
        <v>2026</v>
      </c>
      <c r="L18" s="639">
        <v>47391</v>
      </c>
      <c r="M18" s="634">
        <f>IF(AND(J18&lt;&gt;"",L18&lt;&gt;""),(YEAR(L18)-YEAR(J18))*12+MONTH(L18)-MONTH(J18)+1,"")</f>
        <v>36</v>
      </c>
      <c r="N18" s="640">
        <f>IF(AND(M18&gt;0,M18&lt;=12),M18*AO23,IF(AND(M18&gt;12,M18&lt;=24),12*AO23+(M18-12)*AP23,IF(AND(M18&gt;24,M18&lt;=36),12*AO23+12*AP23+(M18-24)*AQ23,IF(AND(M18&gt;36,M18&lt;=48),12*AO23+12*AP23+12*AQ23+(M18-36)*AR23,0))))</f>
        <v>30000</v>
      </c>
      <c r="O18" s="641">
        <f>IF(E18="","",N18/H18)</f>
        <v>1</v>
      </c>
      <c r="P18" s="642">
        <f>IF(E18&lt;&gt;"",H18-N18,"")</f>
        <v>0</v>
      </c>
      <c r="Q18" s="643">
        <f>IF(E18&lt;&gt;"",P18+N18,"")</f>
        <v>30000</v>
      </c>
      <c r="R18" s="644">
        <f>IF(R$16=$K18,$N18,0)</f>
        <v>30000</v>
      </c>
      <c r="S18" s="644">
        <f>IF(S$16=$K18,$N18,0)</f>
        <v>0</v>
      </c>
      <c r="T18" s="644">
        <f t="shared" ref="R18:U38" si="2">IF(T$16=$K18,$N18,0)</f>
        <v>0</v>
      </c>
      <c r="U18" s="645">
        <f t="shared" si="2"/>
        <v>0</v>
      </c>
      <c r="V18" s="607"/>
    </row>
    <row r="19" spans="1:62" s="588" customFormat="1" ht="15" customHeight="1">
      <c r="C19" s="605"/>
      <c r="D19" s="627">
        <v>5000</v>
      </c>
      <c r="E19" s="615">
        <f t="shared" si="0"/>
        <v>2</v>
      </c>
      <c r="F19" s="616" t="s">
        <v>260</v>
      </c>
      <c r="G19" s="617" t="str">
        <f>IF(F19="","","Instrumentos e equipamento científico")</f>
        <v>Instrumentos e equipamento científico</v>
      </c>
      <c r="H19" s="618">
        <v>5000</v>
      </c>
      <c r="I19" s="619">
        <v>0.2</v>
      </c>
      <c r="J19" s="620">
        <v>46296</v>
      </c>
      <c r="K19" s="615">
        <f t="shared" ref="K19:K38" si="3">+IF(J19&lt;&gt;"",YEAR(J19),"")</f>
        <v>2026</v>
      </c>
      <c r="L19" s="620">
        <v>47391</v>
      </c>
      <c r="M19" s="615">
        <f t="shared" ref="M19:M38" si="4">IF(AND(J19&lt;&gt;"",L19&lt;&gt;""),(YEAR(L19)-YEAR(J19))*12+MONTH(L19)-MONTH(J19)+1,"")</f>
        <v>36</v>
      </c>
      <c r="N19" s="621">
        <f>IF(AND(M19&gt;0,M19&lt;=12),M19*AO26,IF(AND(M19&gt;12,M19&lt;=24),12*AO26+(M19-12)*AP26,IF(AND(M19&gt;24,M19&lt;=36),12*AO26+12*AP26+(M19-24)*AQ26,IF(AND(M19&gt;36,M19&lt;=48),12*AO26+12*AP26+12*AQ26+(M19-36)*AR26,0))))</f>
        <v>3920</v>
      </c>
      <c r="O19" s="622">
        <f t="shared" ref="O19:O38" si="5">IF(E19="","",N19/H19)</f>
        <v>0.78400000000000003</v>
      </c>
      <c r="P19" s="623">
        <f>IF(E19&lt;&gt;"",H19-N19,"")</f>
        <v>1080</v>
      </c>
      <c r="Q19" s="624">
        <f>IF(E19&lt;&gt;"",P19+N19,"")</f>
        <v>5000</v>
      </c>
      <c r="R19" s="625">
        <f t="shared" si="2"/>
        <v>3920</v>
      </c>
      <c r="S19" s="625">
        <f t="shared" si="2"/>
        <v>0</v>
      </c>
      <c r="T19" s="625">
        <f t="shared" si="2"/>
        <v>0</v>
      </c>
      <c r="U19" s="626">
        <f t="shared" si="2"/>
        <v>0</v>
      </c>
      <c r="V19" s="607"/>
      <c r="AB19" s="650"/>
      <c r="AC19" s="650"/>
      <c r="AD19" s="650"/>
      <c r="AE19" s="650"/>
      <c r="AF19" s="650"/>
      <c r="AH19" s="650"/>
      <c r="AI19" s="650"/>
      <c r="AJ19" s="650"/>
      <c r="AK19" s="650"/>
      <c r="AL19" s="650"/>
      <c r="AM19" s="650"/>
      <c r="AN19" s="650"/>
      <c r="AO19" s="650"/>
      <c r="AP19" s="650"/>
      <c r="AQ19" s="650"/>
      <c r="AR19" s="650"/>
      <c r="AS19" s="650"/>
      <c r="AT19" s="650"/>
      <c r="AU19" s="650"/>
      <c r="AV19" s="650"/>
      <c r="AW19" s="650"/>
      <c r="AX19" s="650"/>
      <c r="AY19" s="650"/>
      <c r="AZ19" s="650"/>
      <c r="BA19" s="650"/>
      <c r="BB19" s="650"/>
      <c r="BC19" s="650"/>
      <c r="BD19" s="650"/>
      <c r="BE19" s="650"/>
      <c r="BF19" s="650"/>
      <c r="BG19" s="650"/>
      <c r="BH19" s="650"/>
      <c r="BI19" s="650"/>
    </row>
    <row r="20" spans="1:62" s="588" customFormat="1" ht="15" customHeight="1">
      <c r="C20" s="605"/>
      <c r="D20" s="627">
        <v>1500</v>
      </c>
      <c r="E20" s="615">
        <f t="shared" si="0"/>
        <v>3</v>
      </c>
      <c r="F20" s="616" t="s">
        <v>261</v>
      </c>
      <c r="G20" s="617" t="str">
        <f t="shared" si="1"/>
        <v>Instrumentos e equipamento científico</v>
      </c>
      <c r="H20" s="618">
        <v>3000</v>
      </c>
      <c r="I20" s="619">
        <v>0.2</v>
      </c>
      <c r="J20" s="620">
        <v>46296</v>
      </c>
      <c r="K20" s="615">
        <f t="shared" si="3"/>
        <v>2026</v>
      </c>
      <c r="L20" s="620">
        <v>47391</v>
      </c>
      <c r="M20" s="615">
        <f t="shared" si="4"/>
        <v>36</v>
      </c>
      <c r="N20" s="621">
        <f>IF(AND(M20&gt;0,M20&lt;=12),M20*AO29,IF(AND(M20&gt;12,M20&lt;=24),12*AO29+(M20-12)*AP29,IF(AND(M20&gt;24,M20&lt;=36),12*AO29+12*AP29+(M20-24)*AQ29,IF(AND(M20&gt;36,M20&lt;=48),12*AO29+12*AP29+12*AQ29+(M20-36)*AR29,0))))</f>
        <v>2352</v>
      </c>
      <c r="O20" s="622">
        <f t="shared" si="5"/>
        <v>0.78400000000000003</v>
      </c>
      <c r="P20" s="623">
        <f>IF(E20&lt;&gt;"",H20-N20,"")</f>
        <v>648</v>
      </c>
      <c r="Q20" s="624">
        <f>IF(E20&lt;&gt;"",P20+N20,"")</f>
        <v>3000</v>
      </c>
      <c r="R20" s="625">
        <f t="shared" si="2"/>
        <v>2352</v>
      </c>
      <c r="S20" s="625">
        <f t="shared" si="2"/>
        <v>0</v>
      </c>
      <c r="T20" s="625">
        <f t="shared" si="2"/>
        <v>0</v>
      </c>
      <c r="U20" s="626">
        <f t="shared" si="2"/>
        <v>0</v>
      </c>
      <c r="V20" s="607"/>
      <c r="AA20" s="605"/>
      <c r="AB20" s="651" t="s">
        <v>262</v>
      </c>
      <c r="AC20" s="651" t="s">
        <v>263</v>
      </c>
      <c r="AD20" s="652"/>
      <c r="AE20" s="651" t="s">
        <v>264</v>
      </c>
      <c r="AF20" s="651" t="s">
        <v>265</v>
      </c>
      <c r="AG20" s="657"/>
      <c r="AH20" s="589" t="s">
        <v>266</v>
      </c>
      <c r="AI20" s="589" t="s">
        <v>267</v>
      </c>
      <c r="AJ20" s="589" t="s">
        <v>268</v>
      </c>
      <c r="AK20" s="589" t="s">
        <v>269</v>
      </c>
      <c r="AL20" s="589" t="s">
        <v>265</v>
      </c>
      <c r="AM20" s="589" t="s">
        <v>270</v>
      </c>
      <c r="AN20" s="589" t="s">
        <v>271</v>
      </c>
      <c r="AO20" s="589">
        <v>1</v>
      </c>
      <c r="AP20" s="589">
        <v>2</v>
      </c>
      <c r="AQ20" s="589">
        <v>3</v>
      </c>
      <c r="AR20" s="589">
        <v>4</v>
      </c>
      <c r="AS20" s="589">
        <v>5</v>
      </c>
      <c r="AT20" s="589">
        <v>6</v>
      </c>
      <c r="AU20" s="589">
        <v>7</v>
      </c>
      <c r="AV20" s="589">
        <v>8</v>
      </c>
      <c r="AW20" s="589">
        <v>9</v>
      </c>
      <c r="AX20" s="589">
        <v>10</v>
      </c>
      <c r="AY20" s="589">
        <v>11</v>
      </c>
      <c r="AZ20" s="589">
        <v>12</v>
      </c>
      <c r="BA20" s="589">
        <v>13</v>
      </c>
      <c r="BB20" s="589">
        <v>14</v>
      </c>
      <c r="BC20" s="589">
        <v>15</v>
      </c>
      <c r="BD20" s="589">
        <v>16</v>
      </c>
      <c r="BE20" s="589">
        <v>17</v>
      </c>
      <c r="BF20" s="589">
        <v>18</v>
      </c>
      <c r="BG20" s="589">
        <v>19</v>
      </c>
      <c r="BH20" s="589">
        <v>20</v>
      </c>
      <c r="BI20" s="589" t="s">
        <v>272</v>
      </c>
      <c r="BJ20" s="607"/>
    </row>
    <row r="21" spans="1:62" s="588" customFormat="1" ht="15" customHeight="1">
      <c r="C21" s="605"/>
      <c r="D21" s="627">
        <v>2000</v>
      </c>
      <c r="E21" s="615">
        <v>3</v>
      </c>
      <c r="F21" s="616" t="s">
        <v>273</v>
      </c>
      <c r="G21" s="617" t="str">
        <f t="shared" si="1"/>
        <v>Instrumentos e equipamento científico</v>
      </c>
      <c r="H21" s="618">
        <v>6000</v>
      </c>
      <c r="I21" s="619">
        <v>0.25</v>
      </c>
      <c r="J21" s="620">
        <v>46296</v>
      </c>
      <c r="K21" s="615">
        <f t="shared" si="3"/>
        <v>2026</v>
      </c>
      <c r="L21" s="620">
        <v>47391</v>
      </c>
      <c r="M21" s="615">
        <f t="shared" si="4"/>
        <v>36</v>
      </c>
      <c r="N21" s="621">
        <f>IF(AND(M21&gt;0,M21&lt;=12),M21*AO32,IF(AND(M21&gt;12,M21&lt;=24),12*AO32+(M21-12)*AP32,IF(AND(M21&gt;24,M21&lt;=36),12*AO32+12*AP32+(M21-24)*AQ32,IF(AND(M21&gt;36,M21&lt;=48),12*AO32+12*AP32+12*AQ32+(M21-36)*AR32,0))))</f>
        <v>4828.125</v>
      </c>
      <c r="O21" s="622">
        <f t="shared" si="5"/>
        <v>0.8046875</v>
      </c>
      <c r="P21" s="623">
        <f>IF(E21&lt;&gt;"",H21-N21,"")</f>
        <v>1171.875</v>
      </c>
      <c r="Q21" s="624">
        <f>IF(E21&lt;&gt;"",P21+N21,"")</f>
        <v>6000</v>
      </c>
      <c r="R21" s="625">
        <f t="shared" si="2"/>
        <v>4828.125</v>
      </c>
      <c r="S21" s="625">
        <f t="shared" si="2"/>
        <v>0</v>
      </c>
      <c r="T21" s="625">
        <f t="shared" si="2"/>
        <v>0</v>
      </c>
      <c r="U21" s="626">
        <f t="shared" si="2"/>
        <v>0</v>
      </c>
      <c r="V21" s="607"/>
      <c r="AA21" s="605"/>
      <c r="AB21" s="653">
        <v>20</v>
      </c>
      <c r="AC21" s="654">
        <f>100/AB21</f>
        <v>5</v>
      </c>
      <c r="AD21" s="653"/>
      <c r="AE21" s="653">
        <v>20</v>
      </c>
      <c r="AF21" s="653">
        <v>2.5</v>
      </c>
      <c r="AG21" s="657"/>
      <c r="AH21" s="758">
        <v>1</v>
      </c>
      <c r="AI21" s="759">
        <f>H18</f>
        <v>30000</v>
      </c>
      <c r="AJ21" s="760">
        <f>I18</f>
        <v>1</v>
      </c>
      <c r="AK21" s="761">
        <f>IF(AJ21=0,0,ROUNDUP(100/AJ21/100,2))</f>
        <v>1</v>
      </c>
      <c r="AL21" s="758">
        <f>IF(AND(AK21&gt;=1,AK21&lt;=4),1.5,IF(AND(AK21&gt;4,AK21&lt;=6),2,2.5))</f>
        <v>1.5</v>
      </c>
      <c r="AM21" s="760">
        <f>IF(AJ21=100%,100%,AJ21*AL21)</f>
        <v>1</v>
      </c>
      <c r="AN21" s="590" t="s">
        <v>274</v>
      </c>
      <c r="AO21" s="591">
        <f>IF(AK21=0,"",AI21/AK21)</f>
        <v>30000</v>
      </c>
      <c r="AP21" s="591" t="str">
        <f>IF($AK21-AP$20&lt;0,"",($AI21-$AO22)/($AK21-AO$20))</f>
        <v/>
      </c>
      <c r="AQ21" s="591" t="str">
        <f>IF($AK21-AQ$20&lt;0,"",($AI21-SUM($AO22:AP22))/($AK21-AP$20))</f>
        <v/>
      </c>
      <c r="AR21" s="591" t="str">
        <f>IF($AK21-AR$20&lt;0,"",($AI21-SUM($AO22:AQ22))/($AK21-AQ$20))</f>
        <v/>
      </c>
      <c r="AS21" s="591" t="str">
        <f>IF($AK21-AS$20&lt;0,"",($AI21-SUM($AO22:AR22))/($AK21-AR$20))</f>
        <v/>
      </c>
      <c r="AT21" s="591" t="str">
        <f>IF($AK21-AT$20&lt;0,"",($AI21-SUM($AO22:AS22))/($AK21-AS$20))</f>
        <v/>
      </c>
      <c r="AU21" s="591" t="str">
        <f>IF($AK21-AU$20&lt;0,"",($AI21-SUM($AO22:AT22))/($AK21-AT$20))</f>
        <v/>
      </c>
      <c r="AV21" s="591" t="str">
        <f>IF($AK21-AV$20&lt;0,"",($AI21-SUM($AO22:AU22))/($AK21-AU$20))</f>
        <v/>
      </c>
      <c r="AW21" s="591" t="str">
        <f>IF($AK21-AW$20&lt;0,"",($AI21-SUM($AO22:AV22))/($AK21-AV$20))</f>
        <v/>
      </c>
      <c r="AX21" s="591" t="str">
        <f>IF($AK21-AX$20&lt;0,"",($AI21-SUM($AO22:AW22))/($AK21-AW$20))</f>
        <v/>
      </c>
      <c r="AY21" s="591" t="str">
        <f>IF($AK21-AY$20&lt;0,"",($AI21-SUM($AO22:AX22))/($AK21-AX$20))</f>
        <v/>
      </c>
      <c r="AZ21" s="591" t="str">
        <f>IF($AK21-AZ$20&lt;0,"",($AI21-SUM($AO22:AY22))/($AK21-AY$20))</f>
        <v/>
      </c>
      <c r="BA21" s="591" t="str">
        <f>IF($AK21-BA$20&lt;0,"",($AI21-SUM($AO22:AZ22))/($AK21-AZ$20))</f>
        <v/>
      </c>
      <c r="BB21" s="591" t="str">
        <f>IF($AK21-BB$20&lt;0,"",($AI21-SUM($AO22:BA22))/($AK21-BA$20))</f>
        <v/>
      </c>
      <c r="BC21" s="591" t="str">
        <f>IF($AK21-BC$20&lt;0,"",($AI21-SUM($AO22:BB22))/($AK21-BB$20))</f>
        <v/>
      </c>
      <c r="BD21" s="591" t="str">
        <f>IF($AK21-BD$20&lt;0,"",($AI21-SUM($AO22:BC22))/($AK21-BC$20))</f>
        <v/>
      </c>
      <c r="BE21" s="591" t="str">
        <f>IF($AK21-BE$20&lt;0,"",($AI21-SUM($AO22:BD22))/($AK21-BD$20))</f>
        <v/>
      </c>
      <c r="BF21" s="591" t="str">
        <f>IF($AK21-BF$20&lt;0,"",($AI21-SUM($AO22:BE22))/($AK21-BE$20))</f>
        <v/>
      </c>
      <c r="BG21" s="591" t="str">
        <f>IF($AK21-BG$20&lt;0,"",($AI21-SUM($AO22:BF22))/($AK21-BF$20))</f>
        <v/>
      </c>
      <c r="BH21" s="591" t="str">
        <f>IF($AK21-BH$20&lt;0,"",($AI21-SUM($AO22:BG22))/($AK21-BG$20))</f>
        <v/>
      </c>
      <c r="BI21" s="592"/>
      <c r="BJ21" s="607"/>
    </row>
    <row r="22" spans="1:62" s="588" customFormat="1" ht="15" customHeight="1">
      <c r="C22" s="605"/>
      <c r="D22" s="627">
        <v>11000</v>
      </c>
      <c r="E22" s="615">
        <f t="shared" si="0"/>
        <v>4</v>
      </c>
      <c r="F22" s="616" t="s">
        <v>275</v>
      </c>
      <c r="G22" s="617" t="str">
        <f t="shared" si="1"/>
        <v>Instrumentos e equipamento científico</v>
      </c>
      <c r="H22" s="618">
        <v>12000</v>
      </c>
      <c r="I22" s="619">
        <v>0.2</v>
      </c>
      <c r="J22" s="620">
        <v>46296</v>
      </c>
      <c r="K22" s="615">
        <f>+IF(J22&lt;&gt;"",YEAR(J22),"")</f>
        <v>2026</v>
      </c>
      <c r="L22" s="620">
        <v>47391</v>
      </c>
      <c r="M22" s="615">
        <f t="shared" si="4"/>
        <v>36</v>
      </c>
      <c r="N22" s="621">
        <f>IF(AND(M22&gt;0,M22&lt;=12),M22*AO35,IF(AND(M22&gt;12,M22&lt;=24),12*AO35+(M22-12)*AP35,IF(AND(M22&gt;24,M22&lt;=36),12*AO35+12*AP35+(M22-24)*AQ35,IF(AND(M22&gt;36,M22&lt;=48),12*AO35+12*AP35+12*AQ35+(M22-36)*AR35,0))))</f>
        <v>9408</v>
      </c>
      <c r="O22" s="622">
        <f t="shared" si="5"/>
        <v>0.78400000000000003</v>
      </c>
      <c r="P22" s="623">
        <f>IF(E22&lt;&gt;"",H22-N22,"")</f>
        <v>2592</v>
      </c>
      <c r="Q22" s="624">
        <f>IF(E22&lt;&gt;"",P22+N22,"")</f>
        <v>12000</v>
      </c>
      <c r="R22" s="625">
        <f t="shared" si="2"/>
        <v>9408</v>
      </c>
      <c r="S22" s="625">
        <f t="shared" si="2"/>
        <v>0</v>
      </c>
      <c r="T22" s="625">
        <f t="shared" si="2"/>
        <v>0</v>
      </c>
      <c r="U22" s="626">
        <f t="shared" si="2"/>
        <v>0</v>
      </c>
      <c r="V22" s="607"/>
      <c r="AA22" s="605"/>
      <c r="AB22" s="653">
        <v>16</v>
      </c>
      <c r="AC22" s="654">
        <f t="shared" ref="AC22:AC33" si="6">100/AB22</f>
        <v>6.25</v>
      </c>
      <c r="AD22" s="653"/>
      <c r="AE22" s="653">
        <v>16</v>
      </c>
      <c r="AF22" s="653">
        <v>2.5</v>
      </c>
      <c r="AG22" s="657"/>
      <c r="AH22" s="758"/>
      <c r="AI22" s="759"/>
      <c r="AJ22" s="760"/>
      <c r="AK22" s="761"/>
      <c r="AL22" s="758"/>
      <c r="AM22" s="760"/>
      <c r="AN22" s="590" t="s">
        <v>276</v>
      </c>
      <c r="AO22" s="591">
        <f>IF(AO$20&lt;=$AK21,AI21*AM21,0)</f>
        <v>30000</v>
      </c>
      <c r="AP22" s="591">
        <f>IF(AP$20&lt;=$AK21,IF(($AI21-$AO22)*$AM21&lt;AP21,AP21,(AI21-AO22)*AM21),0)</f>
        <v>0</v>
      </c>
      <c r="AQ22" s="591">
        <f>IF(AQ$20&lt;=$AK21,IF(($AI21-SUM($AO22:AP22))*$AM21&lt;AQ21,AQ21,(($AI21-SUM($AO22:AP22))*$AM21)),0)</f>
        <v>0</v>
      </c>
      <c r="AR22" s="591">
        <f>IF(AR$20&lt;=$AK21,IF(($AI21-SUM($AO22:AQ22))*$AM21&lt;AR21,AR21,(($AI21-SUM($AO22:AQ22))*$AM21)),0)</f>
        <v>0</v>
      </c>
      <c r="AS22" s="591">
        <f>IF(AS$20&lt;=$AK21,IF(($AI21-SUM($AO22:AR22))*$AM21&lt;AS21,AS21,(($AI21-SUM($AO22:AR22))*$AM21)),0)</f>
        <v>0</v>
      </c>
      <c r="AT22" s="591">
        <f>IF(AT$20&lt;=$AK21,IF(($AI21-SUM($AO22:AS22))*$AM21&lt;AT21,AT21,(($AI21-SUM($AO22:AS22))*$AM21)),0)</f>
        <v>0</v>
      </c>
      <c r="AU22" s="591">
        <f>IF(AU$20&lt;=$AK21,IF(($AI21-SUM($AO22:AT22))*$AM21&lt;AU21,AU21,(($AI21-SUM($AO22:AT22))*$AM21)),0)</f>
        <v>0</v>
      </c>
      <c r="AV22" s="591">
        <f>IF(AV$20&lt;=$AK21,IF(($AI21-SUM($AO22:AU22))*$AM21&lt;AV21,AV21,(($AI21-SUM($AO22:AU22))*$AM21)),0)</f>
        <v>0</v>
      </c>
      <c r="AW22" s="591">
        <f>IF(AW$20&lt;=$AK21,IF(($AI21-SUM($AO22:AV22))*$AM21&lt;AW21,AW21,(($AI21-SUM($AO22:AV22))*$AM21)),0)</f>
        <v>0</v>
      </c>
      <c r="AX22" s="591">
        <f>IF(AX$20&lt;=$AK21,IF(($AI21-SUM($AO22:AW22))*$AM21&lt;AX21,AX21,(($AI21-SUM($AO22:AW22))*$AM21)),0)</f>
        <v>0</v>
      </c>
      <c r="AY22" s="591">
        <f>IF(AY$20&lt;=$AK21,IF(($AI21-SUM($AO22:AX22))*$AM21&lt;AY21,AY21,(($AI21-SUM($AO22:AX22))*$AM21)),0)</f>
        <v>0</v>
      </c>
      <c r="AZ22" s="591">
        <f>IF(AZ$20&lt;=$AK21,IF(($AI21-SUM($AO22:AY22))*$AM21&lt;AZ21,AZ21,(($AI21-SUM($AO22:AY22))*$AM21)),0)</f>
        <v>0</v>
      </c>
      <c r="BA22" s="591">
        <f>IF(BA$20&lt;=$AK21,IF(($AI21-SUM($AO22:AZ22))*$AM21&lt;BA21,BA21,(($AI21-SUM($AO22:AZ22))*$AM21)),0)</f>
        <v>0</v>
      </c>
      <c r="BB22" s="591">
        <f>IF(BB$20&lt;=$AK21,IF(($AI21-SUM($AO22:BA22))*$AM21&lt;BB21,BB21,(($AI21-SUM($AO22:BA22))*$AM21)),0)</f>
        <v>0</v>
      </c>
      <c r="BC22" s="591">
        <f>IF(BC$20&lt;=$AK21,IF(($AI21-SUM($AO22:BB22))*$AM21&lt;BC21,BC21,(($AI21-SUM($AO22:BB22))*$AM21)),0)</f>
        <v>0</v>
      </c>
      <c r="BD22" s="591">
        <f>IF(BD$20&lt;=$AK21,IF(($AI21-SUM($AO22:BC22))*$AM21&lt;BD21,BD21,(($AI21-SUM($AO22:BC22))*$AM21)),0)</f>
        <v>0</v>
      </c>
      <c r="BE22" s="591">
        <f>IF(BE$20&lt;=$AK21,IF(($AI21-SUM($AO22:BD22))*$AM21&lt;BE21,BE21,(($AI21-SUM($AO22:BD22))*$AM21)),0)</f>
        <v>0</v>
      </c>
      <c r="BF22" s="591">
        <f>IF(BF$20&lt;=$AK21,IF(($AI21-SUM($AO22:BE22))*$AM21&lt;BF21,BF21,(($AI21-SUM($AO22:BE22))*$AM21)),0)</f>
        <v>0</v>
      </c>
      <c r="BG22" s="591">
        <f>IF(BG$20&lt;=$AK21,IF(($AI21-SUM($AO22:BF22))*$AM21&lt;BG21,BG21,(($AI21-SUM($AO22:BF22))*$AM21)),0)</f>
        <v>0</v>
      </c>
      <c r="BH22" s="591">
        <f>IF(BH$20&lt;=$AK21,IF(($AI21-SUM($AO22:BG22))*$AM21&lt;BH21,BH21,(($AI21-SUM($AO22:BG22))*$AM21)),0)</f>
        <v>0</v>
      </c>
      <c r="BI22" s="591">
        <f>SUM(AO22:BH22)</f>
        <v>30000</v>
      </c>
      <c r="BJ22" s="607"/>
    </row>
    <row r="23" spans="1:62" s="588" customFormat="1" ht="15" customHeight="1">
      <c r="C23" s="605"/>
      <c r="D23" s="628"/>
      <c r="E23" s="615" t="str">
        <f t="shared" si="0"/>
        <v/>
      </c>
      <c r="F23" s="616"/>
      <c r="G23" s="617" t="str">
        <f t="shared" si="1"/>
        <v/>
      </c>
      <c r="H23" s="618"/>
      <c r="I23" s="619"/>
      <c r="J23" s="620"/>
      <c r="K23" s="615" t="str">
        <f t="shared" si="3"/>
        <v/>
      </c>
      <c r="L23" s="620"/>
      <c r="M23" s="615" t="str">
        <f>IF(AND(J23&lt;&gt;"",L23&lt;&gt;""),(YEAR(L23)-YEAR(J23))*12+MONTH(L23)-MONTH(J23)+1,"")</f>
        <v/>
      </c>
      <c r="N23" s="621">
        <f>IF(AND(M23&gt;0,M23&lt;=12),M23*AO38,IF(AND(M23&gt;12,M23&lt;=24),12*AO38+(M23-12)*AP38,IF(AND(M23&gt;24,M23&lt;=36),12*AO38+12*AP38+(M23-24)*AQ38,IF(AND(M23&gt;36,M23&lt;=48),12*AO38+12*AP38+12*AQ38+(M23-36)*AR38,0))))</f>
        <v>0</v>
      </c>
      <c r="O23" s="622" t="str">
        <f t="shared" si="5"/>
        <v/>
      </c>
      <c r="P23" s="623" t="str">
        <f t="shared" ref="P23:P38" si="7">IF(E23&lt;&gt;"",H23-N23,"")</f>
        <v/>
      </c>
      <c r="Q23" s="624" t="str">
        <f t="shared" ref="Q23:Q38" si="8">IF(E23&lt;&gt;"",P23+N23,"")</f>
        <v/>
      </c>
      <c r="R23" s="625">
        <f t="shared" si="2"/>
        <v>0</v>
      </c>
      <c r="S23" s="625">
        <f t="shared" si="2"/>
        <v>0</v>
      </c>
      <c r="T23" s="625">
        <f t="shared" si="2"/>
        <v>0</v>
      </c>
      <c r="U23" s="626">
        <f t="shared" si="2"/>
        <v>0</v>
      </c>
      <c r="V23" s="607"/>
      <c r="AA23" s="605"/>
      <c r="AB23" s="653">
        <v>14</v>
      </c>
      <c r="AC23" s="654">
        <f t="shared" si="6"/>
        <v>7.1428571428571432</v>
      </c>
      <c r="AD23" s="653"/>
      <c r="AE23" s="653">
        <v>14</v>
      </c>
      <c r="AF23" s="653">
        <v>2.5</v>
      </c>
      <c r="AG23" s="657"/>
      <c r="AH23" s="758"/>
      <c r="AI23" s="759"/>
      <c r="AJ23" s="760"/>
      <c r="AK23" s="761"/>
      <c r="AL23" s="758"/>
      <c r="AM23" s="760"/>
      <c r="AN23" s="590" t="s">
        <v>277</v>
      </c>
      <c r="AO23" s="591">
        <f>AO22/12</f>
        <v>2500</v>
      </c>
      <c r="AP23" s="591">
        <f t="shared" ref="AP23:BH23" si="9">AP22/12</f>
        <v>0</v>
      </c>
      <c r="AQ23" s="591">
        <f t="shared" si="9"/>
        <v>0</v>
      </c>
      <c r="AR23" s="591">
        <f t="shared" si="9"/>
        <v>0</v>
      </c>
      <c r="AS23" s="591">
        <f t="shared" si="9"/>
        <v>0</v>
      </c>
      <c r="AT23" s="591">
        <f t="shared" si="9"/>
        <v>0</v>
      </c>
      <c r="AU23" s="591">
        <f t="shared" si="9"/>
        <v>0</v>
      </c>
      <c r="AV23" s="591">
        <f t="shared" si="9"/>
        <v>0</v>
      </c>
      <c r="AW23" s="591">
        <f t="shared" si="9"/>
        <v>0</v>
      </c>
      <c r="AX23" s="591">
        <f t="shared" si="9"/>
        <v>0</v>
      </c>
      <c r="AY23" s="591">
        <f t="shared" si="9"/>
        <v>0</v>
      </c>
      <c r="AZ23" s="591">
        <f t="shared" si="9"/>
        <v>0</v>
      </c>
      <c r="BA23" s="591">
        <f t="shared" si="9"/>
        <v>0</v>
      </c>
      <c r="BB23" s="591">
        <f t="shared" si="9"/>
        <v>0</v>
      </c>
      <c r="BC23" s="591">
        <f t="shared" si="9"/>
        <v>0</v>
      </c>
      <c r="BD23" s="591">
        <f t="shared" si="9"/>
        <v>0</v>
      </c>
      <c r="BE23" s="591">
        <f t="shared" si="9"/>
        <v>0</v>
      </c>
      <c r="BF23" s="591">
        <f t="shared" si="9"/>
        <v>0</v>
      </c>
      <c r="BG23" s="591">
        <f t="shared" si="9"/>
        <v>0</v>
      </c>
      <c r="BH23" s="591">
        <f t="shared" si="9"/>
        <v>0</v>
      </c>
      <c r="BI23" s="594"/>
      <c r="BJ23" s="607"/>
    </row>
    <row r="24" spans="1:62" s="588" customFormat="1" ht="15" customHeight="1">
      <c r="A24" s="580"/>
      <c r="B24" s="580"/>
      <c r="C24" s="593"/>
      <c r="D24" s="628"/>
      <c r="E24" s="615" t="str">
        <f t="shared" si="0"/>
        <v/>
      </c>
      <c r="F24" s="616"/>
      <c r="G24" s="617" t="str">
        <f t="shared" si="1"/>
        <v/>
      </c>
      <c r="H24" s="618"/>
      <c r="I24" s="619"/>
      <c r="J24" s="620"/>
      <c r="K24" s="615" t="str">
        <f t="shared" si="3"/>
        <v/>
      </c>
      <c r="L24" s="620"/>
      <c r="M24" s="615" t="str">
        <f t="shared" si="4"/>
        <v/>
      </c>
      <c r="N24" s="621">
        <f>IF(AND(M24&gt;0,M24&lt;=12),M24*AO41,IF(AND(M24&gt;12,M24&lt;=24),12*AO41+(M24-12)*AP41,IF(AND(M24&gt;24,M24&lt;=36),12*AO41+12*AP41+(M24-24)*AQ41,IF(AND(M24&gt;36,M24&lt;=48),12*AO41+12*AP41+12*AQ41+(M24-36)*AR41,0))))</f>
        <v>0</v>
      </c>
      <c r="O24" s="622" t="str">
        <f t="shared" si="5"/>
        <v/>
      </c>
      <c r="P24" s="623" t="str">
        <f t="shared" si="7"/>
        <v/>
      </c>
      <c r="Q24" s="624" t="str">
        <f t="shared" si="8"/>
        <v/>
      </c>
      <c r="R24" s="625">
        <f t="shared" si="2"/>
        <v>0</v>
      </c>
      <c r="S24" s="625">
        <f t="shared" si="2"/>
        <v>0</v>
      </c>
      <c r="T24" s="625">
        <f t="shared" si="2"/>
        <v>0</v>
      </c>
      <c r="U24" s="626">
        <f t="shared" si="2"/>
        <v>0</v>
      </c>
      <c r="V24" s="607"/>
      <c r="AA24" s="605"/>
      <c r="AB24" s="653">
        <v>13</v>
      </c>
      <c r="AC24" s="654">
        <f t="shared" si="6"/>
        <v>7.6923076923076925</v>
      </c>
      <c r="AD24" s="653"/>
      <c r="AE24" s="653">
        <v>12</v>
      </c>
      <c r="AF24" s="653">
        <v>2.5</v>
      </c>
      <c r="AG24" s="657"/>
      <c r="AH24" s="758">
        <v>2</v>
      </c>
      <c r="AI24" s="759">
        <f>H19</f>
        <v>5000</v>
      </c>
      <c r="AJ24" s="760">
        <f>I19</f>
        <v>0.2</v>
      </c>
      <c r="AK24" s="761">
        <f>IF(AJ24=0,0,ROUNDUP(100/AJ24/100,2))</f>
        <v>5</v>
      </c>
      <c r="AL24" s="758">
        <f t="shared" ref="AL24" si="10">IF(AND(AK24&gt;=1,AK24&lt;=4),1.5,IF(AND(AK24&gt;4,AK24&lt;=6),2,2.5))</f>
        <v>2</v>
      </c>
      <c r="AM24" s="760">
        <f>IF(AJ24=100%,100%,AJ24*AL24)</f>
        <v>0.4</v>
      </c>
      <c r="AN24" s="590" t="s">
        <v>274</v>
      </c>
      <c r="AO24" s="591">
        <f>IF(AK24=0,"",AI24/AK24)</f>
        <v>1000</v>
      </c>
      <c r="AP24" s="591">
        <f>IF($AK24-AP$20&lt;0,"",($AI24-$AO25)/($AK24-AO$20))</f>
        <v>750</v>
      </c>
      <c r="AQ24" s="591">
        <f>IF($AK24-AQ$20&lt;0,"",($AI24-SUM($AO25:AP25))/($AK24-AP$20))</f>
        <v>600</v>
      </c>
      <c r="AR24" s="591">
        <f>IF($AK24-AR$20&lt;0,"",($AI24-SUM($AO25:AQ25))/($AK24-AQ$20))</f>
        <v>540</v>
      </c>
      <c r="AS24" s="591">
        <f>IF($AK24-AS$20&lt;0,"",($AI24-SUM($AO25:AR25))/($AK24-AR$20))</f>
        <v>540</v>
      </c>
      <c r="AT24" s="591" t="str">
        <f>IF($AK24-AT$20&lt;0,"",($AI24-SUM($AO25:AS25))/($AK24-AS$20))</f>
        <v/>
      </c>
      <c r="AU24" s="591" t="str">
        <f>IF($AK24-AU$20&lt;0,"",($AI24-SUM($AO25:AT25))/($AK24-AT$20))</f>
        <v/>
      </c>
      <c r="AV24" s="591" t="str">
        <f>IF($AK24-AV$20&lt;0,"",($AI24-SUM($AO25:AU25))/($AK24-AU$20))</f>
        <v/>
      </c>
      <c r="AW24" s="591" t="str">
        <f>IF($AK24-AW$20&lt;0,"",($AI24-SUM($AO25:AV25))/($AK24-AV$20))</f>
        <v/>
      </c>
      <c r="AX24" s="591" t="str">
        <f>IF($AK24-AX$20&lt;0,"",($AI24-SUM($AO25:AW25))/($AK24-AW$20))</f>
        <v/>
      </c>
      <c r="AY24" s="591" t="str">
        <f>IF($AK24-AY$20&lt;0,"",($AI24-SUM($AO25:AX25))/($AK24-AX$20))</f>
        <v/>
      </c>
      <c r="AZ24" s="591" t="str">
        <f>IF($AK24-AZ$20&lt;0,"",($AI24-SUM($AO25:AY25))/($AK24-AY$20))</f>
        <v/>
      </c>
      <c r="BA24" s="591" t="str">
        <f>IF($AK24-BA$20&lt;0,"",($AI24-SUM($AO25:AZ25))/($AK24-AZ$20))</f>
        <v/>
      </c>
      <c r="BB24" s="591" t="str">
        <f>IF($AK24-BB$20&lt;0,"",($AI24-SUM($AO25:BA25))/($AK24-BA$20))</f>
        <v/>
      </c>
      <c r="BC24" s="591" t="str">
        <f>IF($AK24-BC$20&lt;0,"",($AI24-SUM($AO25:BB25))/($AK24-BB$20))</f>
        <v/>
      </c>
      <c r="BD24" s="591" t="str">
        <f>IF($AK24-BD$20&lt;0,"",($AI24-SUM($AO25:BC25))/($AK24-BC$20))</f>
        <v/>
      </c>
      <c r="BE24" s="591" t="str">
        <f>IF($AK24-BE$20&lt;0,"",($AI24-SUM($AO25:BD25))/($AK24-BD$20))</f>
        <v/>
      </c>
      <c r="BF24" s="591" t="str">
        <f>IF($AK24-BF$20&lt;0,"",($AI24-SUM($AO25:BE25))/($AK24-BE$20))</f>
        <v/>
      </c>
      <c r="BG24" s="591" t="str">
        <f>IF($AK24-BG$20&lt;0,"",($AI24-SUM($AO25:BF25))/($AK24-BF$20))</f>
        <v/>
      </c>
      <c r="BH24" s="591" t="str">
        <f>IF($AK24-BH$20&lt;0,"",($AI24-SUM($AO25:BG25))/($AK24-BG$20))</f>
        <v/>
      </c>
      <c r="BI24" s="592"/>
      <c r="BJ24" s="607"/>
    </row>
    <row r="25" spans="1:62" s="588" customFormat="1" ht="15" customHeight="1">
      <c r="A25" s="580"/>
      <c r="B25" s="580"/>
      <c r="C25" s="593"/>
      <c r="D25" s="628"/>
      <c r="E25" s="615" t="str">
        <f t="shared" si="0"/>
        <v/>
      </c>
      <c r="F25" s="616"/>
      <c r="G25" s="617" t="str">
        <f t="shared" si="1"/>
        <v/>
      </c>
      <c r="H25" s="618"/>
      <c r="I25" s="619"/>
      <c r="J25" s="620"/>
      <c r="K25" s="615" t="str">
        <f t="shared" si="3"/>
        <v/>
      </c>
      <c r="L25" s="620"/>
      <c r="M25" s="615" t="str">
        <f t="shared" si="4"/>
        <v/>
      </c>
      <c r="N25" s="621">
        <f>IF(AND(M25&gt;0,M25&lt;=12),M25*AO44,IF(AND(M25&gt;12,M25&lt;=24),12*AO44+(M25-12)*AP44,IF(AND(M25&gt;24,M25&lt;=36),12*AO44+12*AP44+(M25-24)*AQ44,IF(AND(M25&gt;36,M25&lt;=48),12*AO44+12*AP44+12*AQ44+(M25-36)*AR44,0))))</f>
        <v>0</v>
      </c>
      <c r="O25" s="622" t="str">
        <f t="shared" si="5"/>
        <v/>
      </c>
      <c r="P25" s="623" t="str">
        <f t="shared" si="7"/>
        <v/>
      </c>
      <c r="Q25" s="624" t="str">
        <f t="shared" si="8"/>
        <v/>
      </c>
      <c r="R25" s="625">
        <f t="shared" si="2"/>
        <v>0</v>
      </c>
      <c r="S25" s="625">
        <f t="shared" si="2"/>
        <v>0</v>
      </c>
      <c r="T25" s="625">
        <f t="shared" si="2"/>
        <v>0</v>
      </c>
      <c r="U25" s="626">
        <f t="shared" si="2"/>
        <v>0</v>
      </c>
      <c r="V25" s="607"/>
      <c r="AA25" s="605"/>
      <c r="AB25" s="653">
        <v>12</v>
      </c>
      <c r="AC25" s="654">
        <f t="shared" si="6"/>
        <v>8.3333333333333339</v>
      </c>
      <c r="AD25" s="653"/>
      <c r="AE25" s="653">
        <v>10</v>
      </c>
      <c r="AF25" s="653">
        <v>2.5</v>
      </c>
      <c r="AG25" s="657"/>
      <c r="AH25" s="758"/>
      <c r="AI25" s="759"/>
      <c r="AJ25" s="760"/>
      <c r="AK25" s="761"/>
      <c r="AL25" s="758"/>
      <c r="AM25" s="760"/>
      <c r="AN25" s="590" t="s">
        <v>276</v>
      </c>
      <c r="AO25" s="591">
        <f>IF(AO$20&lt;=$AK24,AI24*AM24,0)</f>
        <v>2000</v>
      </c>
      <c r="AP25" s="591">
        <f>IF(AP$20&lt;=$AK24,IF(($AI24-$AO25)*$AM24&lt;AP24,AP24,(AI24-AO25)*AM24),0)</f>
        <v>1200</v>
      </c>
      <c r="AQ25" s="591">
        <f>IF(AQ$20&lt;=$AK24,IF(($AI24-SUM($AO25:AP25))*$AM24&lt;AQ24,AQ24,(($AI24-SUM($AO25:AP25))*$AM24)),0)</f>
        <v>720</v>
      </c>
      <c r="AR25" s="591">
        <f>IF(AR$20&lt;=$AK24,IF(($AI24-SUM($AO25:AQ25))*$AM24&lt;AR24,AR24,(($AI24-SUM($AO25:AQ25))*$AM24)),0)</f>
        <v>540</v>
      </c>
      <c r="AS25" s="591">
        <f>IF(AS$20&lt;=$AK24,IF(($AI24-SUM($AO25:AR25))*$AM24&lt;AS24,AS24,(($AI24-SUM($AO25:AR25))*$AM24)),0)</f>
        <v>540</v>
      </c>
      <c r="AT25" s="591">
        <f>IF(AT$20&lt;=$AK24,IF(($AI24-SUM($AO25:AS25))*$AM24&lt;AT24,AT24,(($AI24-SUM($AO25:AS25))*$AM24)),0)</f>
        <v>0</v>
      </c>
      <c r="AU25" s="591">
        <f>IF(AU$20&lt;=$AK24,IF(($AI24-SUM($AO25:AT25))*$AM24&lt;AU24,AU24,(($AI24-SUM($AO25:AT25))*$AM24)),0)</f>
        <v>0</v>
      </c>
      <c r="AV25" s="591">
        <f>IF(AV$20&lt;=$AK24,IF(($AI24-SUM($AO25:AU25))*$AM24&lt;AV24,AV24,(($AI24-SUM($AO25:AU25))*$AM24)),0)</f>
        <v>0</v>
      </c>
      <c r="AW25" s="591">
        <f>IF(AW$20&lt;=$AK24,IF(($AI24-SUM($AO25:AV25))*$AM24&lt;AW24,AW24,(($AI24-SUM($AO25:AV25))*$AM24)),0)</f>
        <v>0</v>
      </c>
      <c r="AX25" s="591">
        <f>IF(AX$20&lt;=$AK24,IF(($AI24-SUM($AO25:AW25))*$AM24&lt;AX24,AX24,(($AI24-SUM($AO25:AW25))*$AM24)),0)</f>
        <v>0</v>
      </c>
      <c r="AY25" s="591">
        <f>IF(AY$20&lt;=$AK24,IF(($AI24-SUM($AO25:AX25))*$AM24&lt;AY24,AY24,(($AI24-SUM($AO25:AX25))*$AM24)),0)</f>
        <v>0</v>
      </c>
      <c r="AZ25" s="591">
        <f>IF(AZ$20&lt;=$AK24,IF(($AI24-SUM($AO25:AY25))*$AM24&lt;AZ24,AZ24,(($AI24-SUM($AO25:AY25))*$AM24)),0)</f>
        <v>0</v>
      </c>
      <c r="BA25" s="591">
        <f>IF(BA$20&lt;=$AK24,IF(($AI24-SUM($AO25:AZ25))*$AM24&lt;BA24,BA24,(($AI24-SUM($AO25:AZ25))*$AM24)),0)</f>
        <v>0</v>
      </c>
      <c r="BB25" s="591">
        <f>IF(BB$20&lt;=$AK24,IF(($AI24-SUM($AO25:BA25))*$AM24&lt;BB24,BB24,(($AI24-SUM($AO25:BA25))*$AM24)),0)</f>
        <v>0</v>
      </c>
      <c r="BC25" s="591">
        <f>IF(BC$20&lt;=$AK24,IF(($AI24-SUM($AO25:BB25))*$AM24&lt;BC24,BC24,(($AI24-SUM($AO25:BB25))*$AM24)),0)</f>
        <v>0</v>
      </c>
      <c r="BD25" s="591">
        <f>IF(BD$20&lt;=$AK24,IF(($AI24-SUM($AO25:BC25))*$AM24&lt;BD24,BD24,(($AI24-SUM($AO25:BC25))*$AM24)),0)</f>
        <v>0</v>
      </c>
      <c r="BE25" s="591">
        <f>IF(BE$20&lt;=$AK24,IF(($AI24-SUM($AO25:BD25))*$AM24&lt;BE24,BE24,(($AI24-SUM($AO25:BD25))*$AM24)),0)</f>
        <v>0</v>
      </c>
      <c r="BF25" s="591">
        <f>IF(BF$20&lt;=$AK24,IF(($AI24-SUM($AO25:BE25))*$AM24&lt;BF24,BF24,(($AI24-SUM($AO25:BE25))*$AM24)),0)</f>
        <v>0</v>
      </c>
      <c r="BG25" s="591">
        <f>IF(BG$20&lt;=$AK24,IF(($AI24-SUM($AO25:BF25))*$AM24&lt;BG24,BG24,(($AI24-SUM($AO25:BF25))*$AM24)),0)</f>
        <v>0</v>
      </c>
      <c r="BH25" s="591">
        <f>IF(BH$20&lt;=$AK24,IF(($AI24-SUM($AO25:BG25))*$AM24&lt;BH24,BH24,(($AI24-SUM($AO25:BG25))*$AM24)),0)</f>
        <v>0</v>
      </c>
      <c r="BI25" s="591">
        <f>SUM(AO25:BH25)</f>
        <v>5000</v>
      </c>
      <c r="BJ25" s="607"/>
    </row>
    <row r="26" spans="1:62" s="588" customFormat="1" ht="15" customHeight="1">
      <c r="A26" s="580"/>
      <c r="B26" s="580"/>
      <c r="C26" s="593"/>
      <c r="D26" s="628"/>
      <c r="E26" s="615" t="str">
        <f t="shared" si="0"/>
        <v/>
      </c>
      <c r="F26" s="616"/>
      <c r="G26" s="617" t="str">
        <f t="shared" si="1"/>
        <v/>
      </c>
      <c r="H26" s="618"/>
      <c r="I26" s="619"/>
      <c r="J26" s="620"/>
      <c r="K26" s="615" t="str">
        <f t="shared" si="3"/>
        <v/>
      </c>
      <c r="L26" s="620"/>
      <c r="M26" s="615" t="str">
        <f t="shared" si="4"/>
        <v/>
      </c>
      <c r="N26" s="621">
        <f>IF(AND(M26&gt;0,M26&lt;=12),M26*AO47,IF(AND(M26&gt;12,M26&lt;=24),12*AO47+(M26-12)*AP47,IF(AND(M26&gt;24,M26&lt;=36),12*AO47+12*AP47+(M26-24)*AQ47,IF(AND(M26&gt;36,M26&lt;=48),12*AO47+12*AP47+12*AQ47+(M26-36)*AR47,0))))</f>
        <v>0</v>
      </c>
      <c r="O26" s="622" t="str">
        <f t="shared" si="5"/>
        <v/>
      </c>
      <c r="P26" s="623" t="str">
        <f t="shared" si="7"/>
        <v/>
      </c>
      <c r="Q26" s="624" t="str">
        <f t="shared" si="8"/>
        <v/>
      </c>
      <c r="R26" s="625">
        <f t="shared" si="2"/>
        <v>0</v>
      </c>
      <c r="S26" s="625">
        <f t="shared" si="2"/>
        <v>0</v>
      </c>
      <c r="T26" s="625">
        <f t="shared" si="2"/>
        <v>0</v>
      </c>
      <c r="U26" s="626">
        <f t="shared" si="2"/>
        <v>0</v>
      </c>
      <c r="V26" s="607"/>
      <c r="AA26" s="605"/>
      <c r="AB26" s="653">
        <v>10</v>
      </c>
      <c r="AC26" s="654">
        <f t="shared" si="6"/>
        <v>10</v>
      </c>
      <c r="AD26" s="653"/>
      <c r="AE26" s="653">
        <v>8</v>
      </c>
      <c r="AF26" s="653">
        <v>2.5</v>
      </c>
      <c r="AG26" s="657"/>
      <c r="AH26" s="758"/>
      <c r="AI26" s="759"/>
      <c r="AJ26" s="760"/>
      <c r="AK26" s="761"/>
      <c r="AL26" s="758"/>
      <c r="AM26" s="760"/>
      <c r="AN26" s="590" t="s">
        <v>277</v>
      </c>
      <c r="AO26" s="591">
        <f>AO25/12</f>
        <v>166.66666666666666</v>
      </c>
      <c r="AP26" s="591">
        <f t="shared" ref="AP26:BH26" si="11">AP25/12</f>
        <v>100</v>
      </c>
      <c r="AQ26" s="591">
        <f t="shared" si="11"/>
        <v>60</v>
      </c>
      <c r="AR26" s="591">
        <f t="shared" si="11"/>
        <v>45</v>
      </c>
      <c r="AS26" s="591">
        <f t="shared" si="11"/>
        <v>45</v>
      </c>
      <c r="AT26" s="591">
        <f t="shared" si="11"/>
        <v>0</v>
      </c>
      <c r="AU26" s="591">
        <f t="shared" si="11"/>
        <v>0</v>
      </c>
      <c r="AV26" s="591">
        <f t="shared" si="11"/>
        <v>0</v>
      </c>
      <c r="AW26" s="591">
        <f t="shared" si="11"/>
        <v>0</v>
      </c>
      <c r="AX26" s="591">
        <f t="shared" si="11"/>
        <v>0</v>
      </c>
      <c r="AY26" s="591">
        <f t="shared" si="11"/>
        <v>0</v>
      </c>
      <c r="AZ26" s="591">
        <f t="shared" si="11"/>
        <v>0</v>
      </c>
      <c r="BA26" s="591">
        <f t="shared" si="11"/>
        <v>0</v>
      </c>
      <c r="BB26" s="591">
        <f t="shared" si="11"/>
        <v>0</v>
      </c>
      <c r="BC26" s="591">
        <f t="shared" si="11"/>
        <v>0</v>
      </c>
      <c r="BD26" s="591">
        <f t="shared" si="11"/>
        <v>0</v>
      </c>
      <c r="BE26" s="591">
        <f t="shared" si="11"/>
        <v>0</v>
      </c>
      <c r="BF26" s="591">
        <f t="shared" si="11"/>
        <v>0</v>
      </c>
      <c r="BG26" s="591">
        <f t="shared" si="11"/>
        <v>0</v>
      </c>
      <c r="BH26" s="591">
        <f t="shared" si="11"/>
        <v>0</v>
      </c>
      <c r="BI26" s="594"/>
      <c r="BJ26" s="607"/>
    </row>
    <row r="27" spans="1:62" s="588" customFormat="1" ht="15" customHeight="1">
      <c r="A27" s="580"/>
      <c r="B27" s="580"/>
      <c r="C27" s="593"/>
      <c r="D27" s="628"/>
      <c r="E27" s="615" t="str">
        <f t="shared" si="0"/>
        <v/>
      </c>
      <c r="F27" s="616"/>
      <c r="G27" s="617" t="str">
        <f t="shared" si="1"/>
        <v/>
      </c>
      <c r="H27" s="618"/>
      <c r="I27" s="619"/>
      <c r="J27" s="620"/>
      <c r="K27" s="615" t="str">
        <f t="shared" si="3"/>
        <v/>
      </c>
      <c r="L27" s="620"/>
      <c r="M27" s="615" t="str">
        <f t="shared" si="4"/>
        <v/>
      </c>
      <c r="N27" s="621">
        <f>IF(AND(M27&gt;0,M27&lt;=12),M27*AO50,IF(AND(M27&gt;12,M27&lt;=24),12*AO50+(M27-12)*AP50,IF(AND(M27&gt;24,M27&lt;=36),12*AO50+12*AP50+(M27-24)*AQ50,IF(AND(M27&gt;36,M27&lt;=48),12*AO50+12*AP50+12*AQ50+(M27-36)*AR50,0))))</f>
        <v>0</v>
      </c>
      <c r="O27" s="622" t="str">
        <f t="shared" si="5"/>
        <v/>
      </c>
      <c r="P27" s="623" t="str">
        <f t="shared" si="7"/>
        <v/>
      </c>
      <c r="Q27" s="624" t="str">
        <f t="shared" si="8"/>
        <v/>
      </c>
      <c r="R27" s="625">
        <f t="shared" si="2"/>
        <v>0</v>
      </c>
      <c r="S27" s="625">
        <f t="shared" si="2"/>
        <v>0</v>
      </c>
      <c r="T27" s="625">
        <f t="shared" si="2"/>
        <v>0</v>
      </c>
      <c r="U27" s="626">
        <f t="shared" si="2"/>
        <v>0</v>
      </c>
      <c r="V27" s="607"/>
      <c r="AA27" s="605"/>
      <c r="AB27" s="653">
        <v>8</v>
      </c>
      <c r="AC27" s="654">
        <f t="shared" si="6"/>
        <v>12.5</v>
      </c>
      <c r="AD27" s="653"/>
      <c r="AE27" s="653">
        <v>7</v>
      </c>
      <c r="AF27" s="653">
        <v>2.5</v>
      </c>
      <c r="AG27" s="657"/>
      <c r="AH27" s="758">
        <v>3</v>
      </c>
      <c r="AI27" s="759">
        <f>H20</f>
        <v>3000</v>
      </c>
      <c r="AJ27" s="760">
        <f>I20</f>
        <v>0.2</v>
      </c>
      <c r="AK27" s="761">
        <f t="shared" ref="AK27" si="12">IF(AJ27=0,0,ROUNDUP(100/AJ27/100,2))</f>
        <v>5</v>
      </c>
      <c r="AL27" s="758">
        <f t="shared" ref="AL27" si="13">IF(AND(AK27&gt;=1,AK27&lt;=4),1.5,IF(AND(AK27&gt;4,AK27&lt;=6),2,2.5))</f>
        <v>2</v>
      </c>
      <c r="AM27" s="760">
        <f>IF(AJ27=100%,100%,AJ27*AL27)</f>
        <v>0.4</v>
      </c>
      <c r="AN27" s="590" t="s">
        <v>274</v>
      </c>
      <c r="AO27" s="591">
        <f>IF(AK27=0,"",AI27/AK27)</f>
        <v>600</v>
      </c>
      <c r="AP27" s="591">
        <f>IF($AK27-AP$20&lt;0,"",($AI27-$AO28)/($AK27-AO$20))</f>
        <v>450</v>
      </c>
      <c r="AQ27" s="591">
        <f>IF($AK27-AQ$20&lt;0,"",($AI27-SUM($AO28:AP28))/($AK27-AP$20))</f>
        <v>360</v>
      </c>
      <c r="AR27" s="591">
        <f>IF($AK27-AR$20&lt;0,"",($AI27-SUM($AO28:AQ28))/($AK27-AQ$20))</f>
        <v>324</v>
      </c>
      <c r="AS27" s="591">
        <f>IF($AK27-AS$20&lt;0,"",($AI27-SUM($AO28:AR28))/($AK27-AR$20))</f>
        <v>324</v>
      </c>
      <c r="AT27" s="591" t="str">
        <f>IF($AK27-AT$20&lt;0,"",($AI27-SUM($AO28:AS28))/($AK27-AS$20))</f>
        <v/>
      </c>
      <c r="AU27" s="591" t="str">
        <f>IF($AK27-AU$20&lt;0,"",($AI27-SUM($AO28:AT28))/($AK27-AT$20))</f>
        <v/>
      </c>
      <c r="AV27" s="591" t="str">
        <f>IF($AK27-AV$20&lt;0,"",($AI27-SUM($AO28:AU28))/($AK27-AU$20))</f>
        <v/>
      </c>
      <c r="AW27" s="591" t="str">
        <f>IF($AK27-AW$20&lt;0,"",($AI27-SUM($AO28:AV28))/($AK27-AV$20))</f>
        <v/>
      </c>
      <c r="AX27" s="591" t="str">
        <f>IF($AK27-AX$20&lt;0,"",($AI27-SUM($AO28:AW28))/($AK27-AW$20))</f>
        <v/>
      </c>
      <c r="AY27" s="591" t="str">
        <f>IF($AK27-AY$20&lt;0,"",($AI27-SUM($AO28:AX28))/($AK27-AX$20))</f>
        <v/>
      </c>
      <c r="AZ27" s="591" t="str">
        <f>IF($AK27-AZ$20&lt;0,"",($AI27-SUM($AO28:AY28))/($AK27-AY$20))</f>
        <v/>
      </c>
      <c r="BA27" s="591" t="str">
        <f>IF($AK27-BA$20&lt;0,"",($AI27-SUM($AO28:AZ28))/($AK27-AZ$20))</f>
        <v/>
      </c>
      <c r="BB27" s="591" t="str">
        <f>IF($AK27-BB$20&lt;0,"",($AI27-SUM($AO28:BA28))/($AK27-BA$20))</f>
        <v/>
      </c>
      <c r="BC27" s="591" t="str">
        <f>IF($AK27-BC$20&lt;0,"",($AI27-SUM($AO28:BB28))/($AK27-BB$20))</f>
        <v/>
      </c>
      <c r="BD27" s="591" t="str">
        <f>IF($AK27-BD$20&lt;0,"",($AI27-SUM($AO28:BC28))/($AK27-BC$20))</f>
        <v/>
      </c>
      <c r="BE27" s="591" t="str">
        <f>IF($AK27-BE$20&lt;0,"",($AI27-SUM($AO28:BD28))/($AK27-BD$20))</f>
        <v/>
      </c>
      <c r="BF27" s="591" t="str">
        <f>IF($AK27-BF$20&lt;0,"",($AI27-SUM($AO28:BE28))/($AK27-BE$20))</f>
        <v/>
      </c>
      <c r="BG27" s="591" t="str">
        <f>IF($AK27-BG$20&lt;0,"",($AI27-SUM($AO28:BF28))/($AK27-BF$20))</f>
        <v/>
      </c>
      <c r="BH27" s="591" t="str">
        <f>IF($AK27-BH$20&lt;0,"",($AI27-SUM($AO28:BG28))/($AK27-BG$20))</f>
        <v/>
      </c>
      <c r="BI27" s="592"/>
      <c r="BJ27" s="607"/>
    </row>
    <row r="28" spans="1:62" s="588" customFormat="1" ht="15" customHeight="1">
      <c r="A28" s="580"/>
      <c r="B28" s="580"/>
      <c r="C28" s="593"/>
      <c r="D28" s="628"/>
      <c r="E28" s="615" t="str">
        <f t="shared" si="0"/>
        <v/>
      </c>
      <c r="F28" s="616"/>
      <c r="G28" s="617" t="str">
        <f t="shared" si="1"/>
        <v/>
      </c>
      <c r="H28" s="618"/>
      <c r="I28" s="619"/>
      <c r="J28" s="620"/>
      <c r="K28" s="615" t="str">
        <f t="shared" si="3"/>
        <v/>
      </c>
      <c r="L28" s="620"/>
      <c r="M28" s="615" t="str">
        <f t="shared" si="4"/>
        <v/>
      </c>
      <c r="N28" s="621">
        <f>IF(AND(M28&gt;0,M28&lt;=12),M28*AO53,IF(AND(M28&gt;12,M28&lt;=24),12*AO53+(M28-12)*AP53,IF(AND(M28&gt;24,M28&lt;=36),12*AO53+12*AP53+(M28-24)*AQ53,IF(AND(M28&gt;36,M28&lt;=48),12*AO53+12*AP53+12*AQ53+(M28-36)*AR53,0))))</f>
        <v>0</v>
      </c>
      <c r="O28" s="622" t="str">
        <f t="shared" si="5"/>
        <v/>
      </c>
      <c r="P28" s="623" t="str">
        <f t="shared" si="7"/>
        <v/>
      </c>
      <c r="Q28" s="624" t="str">
        <f t="shared" si="8"/>
        <v/>
      </c>
      <c r="R28" s="625">
        <f t="shared" si="2"/>
        <v>0</v>
      </c>
      <c r="S28" s="625">
        <f t="shared" si="2"/>
        <v>0</v>
      </c>
      <c r="T28" s="625">
        <f t="shared" si="2"/>
        <v>0</v>
      </c>
      <c r="U28" s="626">
        <f t="shared" si="2"/>
        <v>0</v>
      </c>
      <c r="V28" s="607"/>
      <c r="AA28" s="605"/>
      <c r="AB28" s="653">
        <v>7</v>
      </c>
      <c r="AC28" s="654">
        <f t="shared" si="6"/>
        <v>14.285714285714286</v>
      </c>
      <c r="AD28" s="653"/>
      <c r="AE28" s="653">
        <v>6</v>
      </c>
      <c r="AF28" s="653">
        <v>2</v>
      </c>
      <c r="AG28" s="657"/>
      <c r="AH28" s="758"/>
      <c r="AI28" s="759"/>
      <c r="AJ28" s="760"/>
      <c r="AK28" s="761"/>
      <c r="AL28" s="758"/>
      <c r="AM28" s="760"/>
      <c r="AN28" s="590" t="s">
        <v>276</v>
      </c>
      <c r="AO28" s="591">
        <f>IF(AO$20&lt;=$AK27,AI27*AM27,0)</f>
        <v>1200</v>
      </c>
      <c r="AP28" s="591">
        <f>IF(AP$20&lt;=$AK27,IF(($AI27-$AO28)*$AM27&lt;AP27,AP27,(AI27-AO28)*AM27),0)</f>
        <v>720</v>
      </c>
      <c r="AQ28" s="591">
        <f>IF(AQ$20&lt;=$AK27,IF(($AI27-SUM($AO28:AP28))*$AM27&lt;AQ27,AQ27,(($AI27-SUM($AO28:AP28))*$AM27)),0)</f>
        <v>432</v>
      </c>
      <c r="AR28" s="591">
        <f>IF(AR$20&lt;=$AK27,IF(($AI27-SUM($AO28:AQ28))*$AM27&lt;AR27,AR27,(($AI27-SUM($AO28:AQ28))*$AM27)),0)</f>
        <v>324</v>
      </c>
      <c r="AS28" s="591">
        <f>IF(AS$20&lt;=$AK27,IF(($AI27-SUM($AO28:AR28))*$AM27&lt;AS27,AS27,(($AI27-SUM($AO28:AR28))*$AM27)),0)</f>
        <v>324</v>
      </c>
      <c r="AT28" s="591">
        <f>IF(AT$20&lt;=$AK27,IF(($AI27-SUM($AO28:AS28))*$AM27&lt;AT27,AT27,(($AI27-SUM($AO28:AS28))*$AM27)),0)</f>
        <v>0</v>
      </c>
      <c r="AU28" s="591">
        <f>IF(AU$20&lt;=$AK27,IF(($AI27-SUM($AO28:AT28))*$AM27&lt;AU27,AU27,(($AI27-SUM($AO28:AT28))*$AM27)),0)</f>
        <v>0</v>
      </c>
      <c r="AV28" s="591">
        <f>IF(AV$20&lt;=$AK27,IF(($AI27-SUM($AO28:AU28))*$AM27&lt;AV27,AV27,(($AI27-SUM($AO28:AU28))*$AM27)),0)</f>
        <v>0</v>
      </c>
      <c r="AW28" s="591">
        <f>IF(AW$20&lt;=$AK27,IF(($AI27-SUM($AO28:AV28))*$AM27&lt;AW27,AW27,(($AI27-SUM($AO28:AV28))*$AM27)),0)</f>
        <v>0</v>
      </c>
      <c r="AX28" s="591">
        <f>IF(AX$20&lt;=$AK27,IF(($AI27-SUM($AO28:AW28))*$AM27&lt;AX27,AX27,(($AI27-SUM($AO28:AW28))*$AM27)),0)</f>
        <v>0</v>
      </c>
      <c r="AY28" s="591">
        <f>IF(AY$20&lt;=$AK27,IF(($AI27-SUM($AO28:AX28))*$AM27&lt;AY27,AY27,(($AI27-SUM($AO28:AX28))*$AM27)),0)</f>
        <v>0</v>
      </c>
      <c r="AZ28" s="591">
        <f>IF(AZ$20&lt;=$AK27,IF(($AI27-SUM($AO28:AY28))*$AM27&lt;AZ27,AZ27,(($AI27-SUM($AO28:AY28))*$AM27)),0)</f>
        <v>0</v>
      </c>
      <c r="BA28" s="591">
        <f>IF(BA$20&lt;=$AK27,IF(($AI27-SUM($AO28:AZ28))*$AM27&lt;BA27,BA27,(($AI27-SUM($AO28:AZ28))*$AM27)),0)</f>
        <v>0</v>
      </c>
      <c r="BB28" s="591">
        <f>IF(BB$20&lt;=$AK27,IF(($AI27-SUM($AO28:BA28))*$AM27&lt;BB27,BB27,(($AI27-SUM($AO28:BA28))*$AM27)),0)</f>
        <v>0</v>
      </c>
      <c r="BC28" s="591">
        <f>IF(BC$20&lt;=$AK27,IF(($AI27-SUM($AO28:BB28))*$AM27&lt;BC27,BC27,(($AI27-SUM($AO28:BB28))*$AM27)),0)</f>
        <v>0</v>
      </c>
      <c r="BD28" s="591">
        <f>IF(BD$20&lt;=$AK27,IF(($AI27-SUM($AO28:BC28))*$AM27&lt;BD27,BD27,(($AI27-SUM($AO28:BC28))*$AM27)),0)</f>
        <v>0</v>
      </c>
      <c r="BE28" s="591">
        <f>IF(BE$20&lt;=$AK27,IF(($AI27-SUM($AO28:BD28))*$AM27&lt;BE27,BE27,(($AI27-SUM($AO28:BD28))*$AM27)),0)</f>
        <v>0</v>
      </c>
      <c r="BF28" s="591">
        <f>IF(BF$20&lt;=$AK27,IF(($AI27-SUM($AO28:BE28))*$AM27&lt;BF27,BF27,(($AI27-SUM($AO28:BE28))*$AM27)),0)</f>
        <v>0</v>
      </c>
      <c r="BG28" s="591">
        <f>IF(BG$20&lt;=$AK27,IF(($AI27-SUM($AO28:BF28))*$AM27&lt;BG27,BG27,(($AI27-SUM($AO28:BF28))*$AM27)),0)</f>
        <v>0</v>
      </c>
      <c r="BH28" s="591">
        <f>IF(BH$20&lt;=$AK27,IF(($AI27-SUM($AO28:BG28))*$AM27&lt;BH27,BH27,(($AI27-SUM($AO28:BG28))*$AM27)),0)</f>
        <v>0</v>
      </c>
      <c r="BI28" s="591">
        <f>SUM(AO28:BH28)</f>
        <v>3000</v>
      </c>
      <c r="BJ28" s="607"/>
    </row>
    <row r="29" spans="1:62" s="588" customFormat="1" ht="15" customHeight="1">
      <c r="A29" s="580"/>
      <c r="B29" s="580"/>
      <c r="C29" s="593"/>
      <c r="D29" s="628"/>
      <c r="E29" s="615" t="str">
        <f t="shared" si="0"/>
        <v/>
      </c>
      <c r="F29" s="616"/>
      <c r="G29" s="617" t="str">
        <f t="shared" si="1"/>
        <v/>
      </c>
      <c r="H29" s="618"/>
      <c r="I29" s="619"/>
      <c r="J29" s="620"/>
      <c r="K29" s="615" t="str">
        <f t="shared" si="3"/>
        <v/>
      </c>
      <c r="L29" s="620"/>
      <c r="M29" s="615" t="str">
        <f t="shared" si="4"/>
        <v/>
      </c>
      <c r="N29" s="621">
        <f>IF(AND(M29&gt;0,M29&lt;=12),M29*AO56,IF(AND(M29&gt;12,M29&lt;=24),12*AO56+(M29-12)*AP56,IF(AND(M29&gt;24,M29&lt;=36),12*AO56+12*AP56+(M29-24)*AQ56,IF(AND(M29&gt;36,M29&lt;=48),12*AO56+12*AP56+12*AQ56+(M29-36)*AR56,0))))</f>
        <v>0</v>
      </c>
      <c r="O29" s="622" t="str">
        <f t="shared" si="5"/>
        <v/>
      </c>
      <c r="P29" s="623" t="str">
        <f t="shared" si="7"/>
        <v/>
      </c>
      <c r="Q29" s="624" t="str">
        <f t="shared" si="8"/>
        <v/>
      </c>
      <c r="R29" s="625">
        <f t="shared" si="2"/>
        <v>0</v>
      </c>
      <c r="S29" s="625">
        <f t="shared" si="2"/>
        <v>0</v>
      </c>
      <c r="T29" s="625">
        <f t="shared" si="2"/>
        <v>0</v>
      </c>
      <c r="U29" s="626">
        <f t="shared" si="2"/>
        <v>0</v>
      </c>
      <c r="V29" s="607"/>
      <c r="AA29" s="605"/>
      <c r="AB29" s="653">
        <v>6</v>
      </c>
      <c r="AC29" s="654">
        <f t="shared" si="6"/>
        <v>16.666666666666668</v>
      </c>
      <c r="AD29" s="653"/>
      <c r="AE29" s="653">
        <v>5</v>
      </c>
      <c r="AF29" s="653">
        <v>2</v>
      </c>
      <c r="AG29" s="657"/>
      <c r="AH29" s="758"/>
      <c r="AI29" s="759"/>
      <c r="AJ29" s="760"/>
      <c r="AK29" s="761"/>
      <c r="AL29" s="758"/>
      <c r="AM29" s="760"/>
      <c r="AN29" s="590" t="s">
        <v>277</v>
      </c>
      <c r="AO29" s="591">
        <f>AO28/12</f>
        <v>100</v>
      </c>
      <c r="AP29" s="591">
        <f t="shared" ref="AP29:BH29" si="14">AP28/12</f>
        <v>60</v>
      </c>
      <c r="AQ29" s="591">
        <f t="shared" si="14"/>
        <v>36</v>
      </c>
      <c r="AR29" s="591">
        <f t="shared" si="14"/>
        <v>27</v>
      </c>
      <c r="AS29" s="591">
        <f t="shared" si="14"/>
        <v>27</v>
      </c>
      <c r="AT29" s="591">
        <f t="shared" si="14"/>
        <v>0</v>
      </c>
      <c r="AU29" s="591">
        <f t="shared" si="14"/>
        <v>0</v>
      </c>
      <c r="AV29" s="591">
        <f t="shared" si="14"/>
        <v>0</v>
      </c>
      <c r="AW29" s="591">
        <f t="shared" si="14"/>
        <v>0</v>
      </c>
      <c r="AX29" s="591">
        <f t="shared" si="14"/>
        <v>0</v>
      </c>
      <c r="AY29" s="591">
        <f t="shared" si="14"/>
        <v>0</v>
      </c>
      <c r="AZ29" s="591">
        <f t="shared" si="14"/>
        <v>0</v>
      </c>
      <c r="BA29" s="591">
        <f t="shared" si="14"/>
        <v>0</v>
      </c>
      <c r="BB29" s="591">
        <f t="shared" si="14"/>
        <v>0</v>
      </c>
      <c r="BC29" s="591">
        <f t="shared" si="14"/>
        <v>0</v>
      </c>
      <c r="BD29" s="591">
        <f t="shared" si="14"/>
        <v>0</v>
      </c>
      <c r="BE29" s="591">
        <f t="shared" si="14"/>
        <v>0</v>
      </c>
      <c r="BF29" s="591">
        <f t="shared" si="14"/>
        <v>0</v>
      </c>
      <c r="BG29" s="591">
        <f t="shared" si="14"/>
        <v>0</v>
      </c>
      <c r="BH29" s="591">
        <f t="shared" si="14"/>
        <v>0</v>
      </c>
      <c r="BI29" s="594"/>
      <c r="BJ29" s="607"/>
    </row>
    <row r="30" spans="1:62" ht="15" customHeight="1">
      <c r="C30" s="593"/>
      <c r="D30" s="628"/>
      <c r="E30" s="615" t="str">
        <f t="shared" si="0"/>
        <v/>
      </c>
      <c r="F30" s="616"/>
      <c r="G30" s="617" t="str">
        <f t="shared" si="1"/>
        <v/>
      </c>
      <c r="H30" s="618"/>
      <c r="I30" s="619"/>
      <c r="J30" s="620"/>
      <c r="K30" s="615" t="str">
        <f>+IF(J30&lt;&gt;"",YEAR(J30),"")</f>
        <v/>
      </c>
      <c r="L30" s="620"/>
      <c r="M30" s="615" t="str">
        <f t="shared" si="4"/>
        <v/>
      </c>
      <c r="N30" s="621">
        <f>IF(AND(M30&gt;0,M30&lt;=12),M30*AO59,IF(AND(M30&gt;12,M30&lt;=24),12*AO59+(M30-12)*AP59,IF(AND(M30&gt;24,M30&lt;=36),12*AO59+12*AP59+(M30-24)*AQ59,IF(AND(M30&gt;36,M30&lt;=48),12*AO59+12*AP59+12*AQ59+(M30-36)*AR59,0))))</f>
        <v>0</v>
      </c>
      <c r="O30" s="622" t="str">
        <f t="shared" si="5"/>
        <v/>
      </c>
      <c r="P30" s="623" t="str">
        <f t="shared" si="7"/>
        <v/>
      </c>
      <c r="Q30" s="624" t="str">
        <f t="shared" si="8"/>
        <v/>
      </c>
      <c r="R30" s="625">
        <f t="shared" si="2"/>
        <v>0</v>
      </c>
      <c r="S30" s="625">
        <f t="shared" si="2"/>
        <v>0</v>
      </c>
      <c r="T30" s="625">
        <f t="shared" si="2"/>
        <v>0</v>
      </c>
      <c r="U30" s="626">
        <f t="shared" si="2"/>
        <v>0</v>
      </c>
      <c r="V30" s="606"/>
      <c r="AA30" s="649"/>
      <c r="AB30" s="653">
        <v>5</v>
      </c>
      <c r="AC30" s="654">
        <f t="shared" si="6"/>
        <v>20</v>
      </c>
      <c r="AD30" s="653"/>
      <c r="AE30" s="653">
        <v>4</v>
      </c>
      <c r="AF30" s="653">
        <v>1.5</v>
      </c>
      <c r="AG30" s="658"/>
      <c r="AH30" s="758">
        <v>4</v>
      </c>
      <c r="AI30" s="759">
        <f>H21</f>
        <v>6000</v>
      </c>
      <c r="AJ30" s="760">
        <f>I21</f>
        <v>0.25</v>
      </c>
      <c r="AK30" s="761">
        <f t="shared" ref="AK30" si="15">IF(AJ30=0,0,ROUNDUP(100/AJ30/100,2))</f>
        <v>4</v>
      </c>
      <c r="AL30" s="758">
        <f t="shared" ref="AL30" si="16">IF(AND(AK30&gt;=1,AK30&lt;=4),1.5,IF(AND(AK30&gt;4,AK30&lt;=6),2,2.5))</f>
        <v>1.5</v>
      </c>
      <c r="AM30" s="760">
        <f>IF(AJ30=100%,100%,AJ30*AL30)</f>
        <v>0.375</v>
      </c>
      <c r="AN30" s="590" t="s">
        <v>274</v>
      </c>
      <c r="AO30" s="591">
        <f>IF(AK30=0,"",AI30/AK30)</f>
        <v>1500</v>
      </c>
      <c r="AP30" s="591">
        <f>IF($AK30-AP$20&lt;0,"",($AI30-$AO31)/($AK30-AO$20))</f>
        <v>1250</v>
      </c>
      <c r="AQ30" s="591">
        <f>IF($AK30-AQ$20&lt;0,"",($AI30-SUM($AO31:AP31))/($AK30-AP$20))</f>
        <v>1171.875</v>
      </c>
      <c r="AR30" s="591">
        <f>IF($AK30-AR$20&lt;0,"",($AI30-SUM($AO31:AQ31))/($AK30-AQ$20))</f>
        <v>1171.875</v>
      </c>
      <c r="AS30" s="591" t="str">
        <f>IF($AK30-AS$20&lt;0,"",($AI30-SUM($AO31:AR31))/($AK30-AR$20))</f>
        <v/>
      </c>
      <c r="AT30" s="591" t="str">
        <f>IF($AK30-AT$20&lt;0,"",($AI30-SUM($AO31:AS31))/($AK30-AS$20))</f>
        <v/>
      </c>
      <c r="AU30" s="591" t="str">
        <f>IF($AK30-AU$20&lt;0,"",($AI30-SUM($AO31:AT31))/($AK30-AT$20))</f>
        <v/>
      </c>
      <c r="AV30" s="591" t="str">
        <f>IF($AK30-AV$20&lt;0,"",($AI30-SUM($AO31:AU31))/($AK30-AU$20))</f>
        <v/>
      </c>
      <c r="AW30" s="591" t="str">
        <f>IF($AK30-AW$20&lt;0,"",($AI30-SUM($AO31:AV31))/($AK30-AV$20))</f>
        <v/>
      </c>
      <c r="AX30" s="591" t="str">
        <f>IF($AK30-AX$20&lt;0,"",($AI30-SUM($AO31:AW31))/($AK30-AW$20))</f>
        <v/>
      </c>
      <c r="AY30" s="591" t="str">
        <f>IF($AK30-AY$20&lt;0,"",($AI30-SUM($AO31:AX31))/($AK30-AX$20))</f>
        <v/>
      </c>
      <c r="AZ30" s="591" t="str">
        <f>IF($AK30-AZ$20&lt;0,"",($AI30-SUM($AO31:AY31))/($AK30-AY$20))</f>
        <v/>
      </c>
      <c r="BA30" s="591" t="str">
        <f>IF($AK30-BA$20&lt;0,"",($AI30-SUM($AO31:AZ31))/($AK30-AZ$20))</f>
        <v/>
      </c>
      <c r="BB30" s="591" t="str">
        <f>IF($AK30-BB$20&lt;0,"",($AI30-SUM($AO31:BA31))/($AK30-BA$20))</f>
        <v/>
      </c>
      <c r="BC30" s="591" t="str">
        <f>IF($AK30-BC$20&lt;0,"",($AI30-SUM($AO31:BB31))/($AK30-BB$20))</f>
        <v/>
      </c>
      <c r="BD30" s="591" t="str">
        <f>IF($AK30-BD$20&lt;0,"",($AI30-SUM($AO31:BC31))/($AK30-BC$20))</f>
        <v/>
      </c>
      <c r="BE30" s="591" t="str">
        <f>IF($AK30-BE$20&lt;0,"",($AI30-SUM($AO31:BD31))/($AK30-BD$20))</f>
        <v/>
      </c>
      <c r="BF30" s="591" t="str">
        <f>IF($AK30-BF$20&lt;0,"",($AI30-SUM($AO31:BE31))/($AK30-BE$20))</f>
        <v/>
      </c>
      <c r="BG30" s="591" t="str">
        <f>IF($AK30-BG$20&lt;0,"",($AI30-SUM($AO31:BF31))/($AK30-BF$20))</f>
        <v/>
      </c>
      <c r="BH30" s="591" t="str">
        <f>IF($AK30-BH$20&lt;0,"",($AI30-SUM($AO31:BG31))/($AK30-BG$20))</f>
        <v/>
      </c>
      <c r="BI30" s="592"/>
      <c r="BJ30" s="606"/>
    </row>
    <row r="31" spans="1:62" ht="15" customHeight="1">
      <c r="C31" s="593"/>
      <c r="D31" s="628"/>
      <c r="E31" s="615" t="str">
        <f t="shared" si="0"/>
        <v/>
      </c>
      <c r="F31" s="616"/>
      <c r="G31" s="617" t="str">
        <f t="shared" si="1"/>
        <v/>
      </c>
      <c r="H31" s="618"/>
      <c r="I31" s="619"/>
      <c r="J31" s="620"/>
      <c r="K31" s="615" t="str">
        <f t="shared" si="3"/>
        <v/>
      </c>
      <c r="L31" s="620"/>
      <c r="M31" s="615" t="str">
        <f t="shared" si="4"/>
        <v/>
      </c>
      <c r="N31" s="621">
        <f>IF(AND(M31&gt;0,M31&lt;=12),M31*AO62,IF(AND(M31&gt;12,M31&lt;=24),12*AO62+(M31-12)*AP62,IF(AND(M31&gt;24,M31&lt;=36),12*AO62+12*AP62+(M31-24)*AQ62,IF(AND(M31&gt;36,M31&lt;=48),12*AO62+12*AP62+12*AQ62+(M31-36)*AR62,0))))</f>
        <v>0</v>
      </c>
      <c r="O31" s="622" t="str">
        <f t="shared" si="5"/>
        <v/>
      </c>
      <c r="P31" s="623" t="str">
        <f t="shared" si="7"/>
        <v/>
      </c>
      <c r="Q31" s="624" t="str">
        <f t="shared" si="8"/>
        <v/>
      </c>
      <c r="R31" s="625">
        <f t="shared" si="2"/>
        <v>0</v>
      </c>
      <c r="S31" s="625">
        <f t="shared" si="2"/>
        <v>0</v>
      </c>
      <c r="T31" s="625">
        <f t="shared" si="2"/>
        <v>0</v>
      </c>
      <c r="U31" s="626">
        <f t="shared" si="2"/>
        <v>0</v>
      </c>
      <c r="V31" s="606"/>
      <c r="AA31" s="649"/>
      <c r="AB31" s="653">
        <v>4</v>
      </c>
      <c r="AC31" s="654">
        <f t="shared" si="6"/>
        <v>25</v>
      </c>
      <c r="AD31" s="653"/>
      <c r="AE31" s="653">
        <v>3</v>
      </c>
      <c r="AF31" s="653">
        <v>1.5</v>
      </c>
      <c r="AG31" s="658"/>
      <c r="AH31" s="758"/>
      <c r="AI31" s="759"/>
      <c r="AJ31" s="760"/>
      <c r="AK31" s="761"/>
      <c r="AL31" s="758"/>
      <c r="AM31" s="760"/>
      <c r="AN31" s="590" t="s">
        <v>276</v>
      </c>
      <c r="AO31" s="591">
        <f>IF(AO$20&lt;=$AK30,AI30*AM30,0)</f>
        <v>2250</v>
      </c>
      <c r="AP31" s="591">
        <f>IF(AP$20&lt;=$AK30,IF(($AI30-$AO31)*$AM30&lt;AP30,AP30,(AI30-AO31)*AM30),0)</f>
        <v>1406.25</v>
      </c>
      <c r="AQ31" s="591">
        <f>IF(AQ$20&lt;=$AK30,IF(($AI30-SUM($AO31:AP31))*$AM30&lt;AQ30,AQ30,(($AI30-SUM($AO31:AP31))*$AM30)),0)</f>
        <v>1171.875</v>
      </c>
      <c r="AR31" s="591">
        <f>IF(AR$20&lt;=$AK30,IF(($AI30-SUM($AO31:AQ31))*$AM30&lt;AR30,AR30,(($AI30-SUM($AO31:AQ31))*$AM30)),0)</f>
        <v>1171.875</v>
      </c>
      <c r="AS31" s="591">
        <f>IF(AS$20&lt;=$AK30,IF(($AI30-SUM($AO31:AR31))*$AM30&lt;AS30,AS30,(($AI30-SUM($AO31:AR31))*$AM30)),0)</f>
        <v>0</v>
      </c>
      <c r="AT31" s="591">
        <f>IF(AT$20&lt;=$AK30,IF(($AI30-SUM($AO31:AS31))*$AM30&lt;AT30,AT30,(($AI30-SUM($AO31:AS31))*$AM30)),0)</f>
        <v>0</v>
      </c>
      <c r="AU31" s="591">
        <f>IF(AU$20&lt;=$AK30,IF(($AI30-SUM($AO31:AT31))*$AM30&lt;AU30,AU30,(($AI30-SUM($AO31:AT31))*$AM30)),0)</f>
        <v>0</v>
      </c>
      <c r="AV31" s="591">
        <f>IF(AV$20&lt;=$AK30,IF(($AI30-SUM($AO31:AU31))*$AM30&lt;AV30,AV30,(($AI30-SUM($AO31:AU31))*$AM30)),0)</f>
        <v>0</v>
      </c>
      <c r="AW31" s="591">
        <f>IF(AW$20&lt;=$AK30,IF(($AI30-SUM($AO31:AV31))*$AM30&lt;AW30,AW30,(($AI30-SUM($AO31:AV31))*$AM30)),0)</f>
        <v>0</v>
      </c>
      <c r="AX31" s="591">
        <f>IF(AX$20&lt;=$AK30,IF(($AI30-SUM($AO31:AW31))*$AM30&lt;AX30,AX30,(($AI30-SUM($AO31:AW31))*$AM30)),0)</f>
        <v>0</v>
      </c>
      <c r="AY31" s="591">
        <f>IF(AY$20&lt;=$AK30,IF(($AI30-SUM($AO31:AX31))*$AM30&lt;AY30,AY30,(($AI30-SUM($AO31:AX31))*$AM30)),0)</f>
        <v>0</v>
      </c>
      <c r="AZ31" s="591">
        <f>IF(AZ$20&lt;=$AK30,IF(($AI30-SUM($AO31:AY31))*$AM30&lt;AZ30,AZ30,(($AI30-SUM($AO31:AY31))*$AM30)),0)</f>
        <v>0</v>
      </c>
      <c r="BA31" s="591">
        <f>IF(BA$20&lt;=$AK30,IF(($AI30-SUM($AO31:AZ31))*$AM30&lt;BA30,BA30,(($AI30-SUM($AO31:AZ31))*$AM30)),0)</f>
        <v>0</v>
      </c>
      <c r="BB31" s="591">
        <f>IF(BB$20&lt;=$AK30,IF(($AI30-SUM($AO31:BA31))*$AM30&lt;BB30,BB30,(($AI30-SUM($AO31:BA31))*$AM30)),0)</f>
        <v>0</v>
      </c>
      <c r="BC31" s="591">
        <f>IF(BC$20&lt;=$AK30,IF(($AI30-SUM($AO31:BB31))*$AM30&lt;BC30,BC30,(($AI30-SUM($AO31:BB31))*$AM30)),0)</f>
        <v>0</v>
      </c>
      <c r="BD31" s="591">
        <f>IF(BD$20&lt;=$AK30,IF(($AI30-SUM($AO31:BC31))*$AM30&lt;BD30,BD30,(($AI30-SUM($AO31:BC31))*$AM30)),0)</f>
        <v>0</v>
      </c>
      <c r="BE31" s="591">
        <f>IF(BE$20&lt;=$AK30,IF(($AI30-SUM($AO31:BD31))*$AM30&lt;BE30,BE30,(($AI30-SUM($AO31:BD31))*$AM30)),0)</f>
        <v>0</v>
      </c>
      <c r="BF31" s="591">
        <f>IF(BF$20&lt;=$AK30,IF(($AI30-SUM($AO31:BE31))*$AM30&lt;BF30,BF30,(($AI30-SUM($AO31:BE31))*$AM30)),0)</f>
        <v>0</v>
      </c>
      <c r="BG31" s="591">
        <f>IF(BG$20&lt;=$AK30,IF(($AI30-SUM($AO31:BF31))*$AM30&lt;BG30,BG30,(($AI30-SUM($AO31:BF31))*$AM30)),0)</f>
        <v>0</v>
      </c>
      <c r="BH31" s="591">
        <f>IF(BH$20&lt;=$AK30,IF(($AI30-SUM($AO31:BG31))*$AM30&lt;BH30,BH30,(($AI30-SUM($AO31:BG31))*$AM30)),0)</f>
        <v>0</v>
      </c>
      <c r="BI31" s="591">
        <f>SUM(AO31:BH31)</f>
        <v>6000</v>
      </c>
      <c r="BJ31" s="606"/>
    </row>
    <row r="32" spans="1:62" ht="15" customHeight="1">
      <c r="C32" s="593"/>
      <c r="D32" s="628"/>
      <c r="E32" s="615" t="str">
        <f t="shared" si="0"/>
        <v/>
      </c>
      <c r="F32" s="616"/>
      <c r="G32" s="617" t="str">
        <f t="shared" si="1"/>
        <v/>
      </c>
      <c r="H32" s="618"/>
      <c r="I32" s="619"/>
      <c r="J32" s="620"/>
      <c r="K32" s="615" t="str">
        <f t="shared" si="3"/>
        <v/>
      </c>
      <c r="L32" s="620"/>
      <c r="M32" s="615" t="str">
        <f t="shared" si="4"/>
        <v/>
      </c>
      <c r="N32" s="621">
        <f>IF(AND(M32&gt;0,M32&lt;=12),M32*AO65,IF(AND(M32&gt;12,M32&lt;=24),12*AO65+(M32-12)*AP65,IF(AND(M32&gt;24,M32&lt;=36),12*AO65+12*AP65+(M32-24)*AQ65,IF(AND(M32&gt;36,M32&lt;=48),12*AO65+12*AP65+12*AQ65+(M32-36)*AR65,0))))</f>
        <v>0</v>
      </c>
      <c r="O32" s="622" t="str">
        <f>IF(E32="","",N32/H32)</f>
        <v/>
      </c>
      <c r="P32" s="623" t="str">
        <f t="shared" si="7"/>
        <v/>
      </c>
      <c r="Q32" s="624" t="str">
        <f t="shared" si="8"/>
        <v/>
      </c>
      <c r="R32" s="625">
        <f t="shared" si="2"/>
        <v>0</v>
      </c>
      <c r="S32" s="625">
        <f t="shared" si="2"/>
        <v>0</v>
      </c>
      <c r="T32" s="625">
        <f t="shared" si="2"/>
        <v>0</v>
      </c>
      <c r="U32" s="626">
        <f t="shared" si="2"/>
        <v>0</v>
      </c>
      <c r="V32" s="606"/>
      <c r="AA32" s="649"/>
      <c r="AB32" s="653">
        <v>3</v>
      </c>
      <c r="AC32" s="654">
        <f t="shared" si="6"/>
        <v>33.333333333333336</v>
      </c>
      <c r="AD32" s="653"/>
      <c r="AE32" s="653">
        <v>2</v>
      </c>
      <c r="AF32" s="653">
        <v>1.5</v>
      </c>
      <c r="AG32" s="658"/>
      <c r="AH32" s="758"/>
      <c r="AI32" s="759"/>
      <c r="AJ32" s="760"/>
      <c r="AK32" s="761"/>
      <c r="AL32" s="758"/>
      <c r="AM32" s="760"/>
      <c r="AN32" s="590" t="s">
        <v>277</v>
      </c>
      <c r="AO32" s="591">
        <f>AO31/12</f>
        <v>187.5</v>
      </c>
      <c r="AP32" s="591">
        <f t="shared" ref="AP32:BH32" si="17">AP31/12</f>
        <v>117.1875</v>
      </c>
      <c r="AQ32" s="591">
        <f t="shared" si="17"/>
        <v>97.65625</v>
      </c>
      <c r="AR32" s="591">
        <f t="shared" si="17"/>
        <v>97.65625</v>
      </c>
      <c r="AS32" s="591">
        <f t="shared" si="17"/>
        <v>0</v>
      </c>
      <c r="AT32" s="591">
        <f t="shared" si="17"/>
        <v>0</v>
      </c>
      <c r="AU32" s="591">
        <f t="shared" si="17"/>
        <v>0</v>
      </c>
      <c r="AV32" s="591">
        <f t="shared" si="17"/>
        <v>0</v>
      </c>
      <c r="AW32" s="591">
        <f t="shared" si="17"/>
        <v>0</v>
      </c>
      <c r="AX32" s="591">
        <f t="shared" si="17"/>
        <v>0</v>
      </c>
      <c r="AY32" s="591">
        <f t="shared" si="17"/>
        <v>0</v>
      </c>
      <c r="AZ32" s="591">
        <f t="shared" si="17"/>
        <v>0</v>
      </c>
      <c r="BA32" s="591">
        <f t="shared" si="17"/>
        <v>0</v>
      </c>
      <c r="BB32" s="591">
        <f t="shared" si="17"/>
        <v>0</v>
      </c>
      <c r="BC32" s="591">
        <f t="shared" si="17"/>
        <v>0</v>
      </c>
      <c r="BD32" s="591">
        <f t="shared" si="17"/>
        <v>0</v>
      </c>
      <c r="BE32" s="591">
        <f t="shared" si="17"/>
        <v>0</v>
      </c>
      <c r="BF32" s="591">
        <f t="shared" si="17"/>
        <v>0</v>
      </c>
      <c r="BG32" s="591">
        <f t="shared" si="17"/>
        <v>0</v>
      </c>
      <c r="BH32" s="591">
        <f t="shared" si="17"/>
        <v>0</v>
      </c>
      <c r="BI32" s="594"/>
      <c r="BJ32" s="606"/>
    </row>
    <row r="33" spans="3:62" ht="15" customHeight="1">
      <c r="C33" s="593"/>
      <c r="D33" s="628"/>
      <c r="E33" s="615" t="str">
        <f t="shared" si="0"/>
        <v/>
      </c>
      <c r="F33" s="616"/>
      <c r="G33" s="617" t="str">
        <f t="shared" si="1"/>
        <v/>
      </c>
      <c r="H33" s="618"/>
      <c r="I33" s="619"/>
      <c r="J33" s="620"/>
      <c r="K33" s="615" t="str">
        <f t="shared" si="3"/>
        <v/>
      </c>
      <c r="L33" s="620"/>
      <c r="M33" s="615" t="str">
        <f t="shared" si="4"/>
        <v/>
      </c>
      <c r="N33" s="621">
        <f>IF(AND(M33&gt;0,M33&lt;=12),M33*AO68,IF(AND(M33&gt;12,M33&lt;=24),12*AO68+(M33-12)*AP68,IF(AND(M33&gt;24,M33&lt;=36),12*AO68+12*AP68+(M33-24)*AQ68,IF(AND(M33&gt;36,M33&lt;=48),12*AO68+12*AP68+12*AQ68+(M33-36)*AR68,0))))</f>
        <v>0</v>
      </c>
      <c r="O33" s="622" t="str">
        <f t="shared" si="5"/>
        <v/>
      </c>
      <c r="P33" s="623" t="str">
        <f t="shared" si="7"/>
        <v/>
      </c>
      <c r="Q33" s="624" t="str">
        <f t="shared" si="8"/>
        <v/>
      </c>
      <c r="R33" s="625">
        <f t="shared" si="2"/>
        <v>0</v>
      </c>
      <c r="S33" s="625">
        <f t="shared" si="2"/>
        <v>0</v>
      </c>
      <c r="T33" s="625">
        <f t="shared" si="2"/>
        <v>0</v>
      </c>
      <c r="U33" s="626">
        <f t="shared" si="2"/>
        <v>0</v>
      </c>
      <c r="V33" s="606"/>
      <c r="AA33" s="649"/>
      <c r="AB33" s="655">
        <v>2</v>
      </c>
      <c r="AC33" s="656">
        <f t="shared" si="6"/>
        <v>50</v>
      </c>
      <c r="AD33" s="655"/>
      <c r="AE33" s="655">
        <v>1</v>
      </c>
      <c r="AF33" s="655">
        <v>1.5</v>
      </c>
      <c r="AG33" s="658"/>
      <c r="AH33" s="758">
        <v>5</v>
      </c>
      <c r="AI33" s="759">
        <f>H22</f>
        <v>12000</v>
      </c>
      <c r="AJ33" s="760">
        <f>I22</f>
        <v>0.2</v>
      </c>
      <c r="AK33" s="761">
        <f t="shared" ref="AK33" si="18">IF(AJ33=0,0,ROUNDUP(100/AJ33/100,2))</f>
        <v>5</v>
      </c>
      <c r="AL33" s="758">
        <f t="shared" ref="AL33" si="19">IF(AND(AK33&gt;=1,AK33&lt;=4),1.5,IF(AND(AK33&gt;4,AK33&lt;=6),2,2.5))</f>
        <v>2</v>
      </c>
      <c r="AM33" s="760">
        <f>IF(AJ33=100%,100%,AJ33*AL33)</f>
        <v>0.4</v>
      </c>
      <c r="AN33" s="590" t="s">
        <v>274</v>
      </c>
      <c r="AO33" s="591">
        <f>IF(AK33=0,"",AI33/AK33)</f>
        <v>2400</v>
      </c>
      <c r="AP33" s="591">
        <f>IF($AK33-AP$20&lt;0,"",($AI33-$AO34)/($AK33-AO$20))</f>
        <v>1800</v>
      </c>
      <c r="AQ33" s="591">
        <f>IF($AK33-AQ$20&lt;0,"",($AI33-SUM($AO34:AP34))/($AK33-AP$20))</f>
        <v>1440</v>
      </c>
      <c r="AR33" s="591">
        <f>IF($AK33-AR$20&lt;0,"",($AI33-SUM($AO34:AQ34))/($AK33-AQ$20))</f>
        <v>1296</v>
      </c>
      <c r="AS33" s="591">
        <f>IF($AK33-AS$20&lt;0,"",($AI33-SUM($AO34:AR34))/($AK33-AR$20))</f>
        <v>1296</v>
      </c>
      <c r="AT33" s="591" t="str">
        <f>IF($AK33-AT$20&lt;0,"",($AI33-SUM($AO34:AS34))/($AK33-AS$20))</f>
        <v/>
      </c>
      <c r="AU33" s="591" t="str">
        <f>IF($AK33-AU$20&lt;0,"",($AI33-SUM($AO34:AT34))/($AK33-AT$20))</f>
        <v/>
      </c>
      <c r="AV33" s="591" t="str">
        <f>IF($AK33-AV$20&lt;0,"",($AI33-SUM($AO34:AU34))/($AK33-AU$20))</f>
        <v/>
      </c>
      <c r="AW33" s="591" t="str">
        <f>IF($AK33-AW$20&lt;0,"",($AI33-SUM($AO34:AV34))/($AK33-AV$20))</f>
        <v/>
      </c>
      <c r="AX33" s="591" t="str">
        <f>IF($AK33-AX$20&lt;0,"",($AI33-SUM($AO34:AW34))/($AK33-AW$20))</f>
        <v/>
      </c>
      <c r="AY33" s="591" t="str">
        <f>IF($AK33-AY$20&lt;0,"",($AI33-SUM($AO34:AX34))/($AK33-AX$20))</f>
        <v/>
      </c>
      <c r="AZ33" s="591" t="str">
        <f>IF($AK33-AZ$20&lt;0,"",($AI33-SUM($AO34:AY34))/($AK33-AY$20))</f>
        <v/>
      </c>
      <c r="BA33" s="591" t="str">
        <f>IF($AK33-BA$20&lt;0,"",($AI33-SUM($AO34:AZ34))/($AK33-AZ$20))</f>
        <v/>
      </c>
      <c r="BB33" s="591" t="str">
        <f>IF($AK33-BB$20&lt;0,"",($AI33-SUM($AO34:BA34))/($AK33-BA$20))</f>
        <v/>
      </c>
      <c r="BC33" s="591" t="str">
        <f>IF($AK33-BC$20&lt;0,"",($AI33-SUM($AO34:BB34))/($AK33-BB$20))</f>
        <v/>
      </c>
      <c r="BD33" s="591" t="str">
        <f>IF($AK33-BD$20&lt;0,"",($AI33-SUM($AO34:BC34))/($AK33-BC$20))</f>
        <v/>
      </c>
      <c r="BE33" s="591" t="str">
        <f>IF($AK33-BE$20&lt;0,"",($AI33-SUM($AO34:BD34))/($AK33-BD$20))</f>
        <v/>
      </c>
      <c r="BF33" s="591" t="str">
        <f>IF($AK33-BF$20&lt;0,"",($AI33-SUM($AO34:BE34))/($AK33-BE$20))</f>
        <v/>
      </c>
      <c r="BG33" s="591" t="str">
        <f>IF($AK33-BG$20&lt;0,"",($AI33-SUM($AO34:BF34))/($AK33-BF$20))</f>
        <v/>
      </c>
      <c r="BH33" s="591" t="str">
        <f>IF($AK33-BH$20&lt;0,"",($AI33-SUM($AO34:BG34))/($AK33-BG$20))</f>
        <v/>
      </c>
      <c r="BI33" s="592"/>
      <c r="BJ33" s="606"/>
    </row>
    <row r="34" spans="3:62" ht="15" customHeight="1">
      <c r="C34" s="593"/>
      <c r="D34" s="628"/>
      <c r="E34" s="615" t="str">
        <f t="shared" si="0"/>
        <v/>
      </c>
      <c r="F34" s="616"/>
      <c r="G34" s="617" t="str">
        <f t="shared" si="1"/>
        <v/>
      </c>
      <c r="H34" s="618"/>
      <c r="I34" s="619"/>
      <c r="J34" s="620"/>
      <c r="K34" s="615" t="str">
        <f t="shared" si="3"/>
        <v/>
      </c>
      <c r="L34" s="620"/>
      <c r="M34" s="615" t="str">
        <f t="shared" si="4"/>
        <v/>
      </c>
      <c r="N34" s="621">
        <f>IF(AND(M34&gt;0,M34&lt;=12),M34*AO71,IF(AND(M34&gt;12,M34&lt;=24),12*AO71+(M34-12)*AP71,IF(AND(M34&gt;24,M34&lt;=36),12*AO71+12*AP71+(M34-24)*AQ71,IF(AND(M34&gt;36,M34&lt;=48),12*AO71+12*AP71+12*AQ71+(M34-36)*AR71,0))))</f>
        <v>0</v>
      </c>
      <c r="O34" s="622" t="str">
        <f t="shared" si="5"/>
        <v/>
      </c>
      <c r="P34" s="623" t="str">
        <f t="shared" si="7"/>
        <v/>
      </c>
      <c r="Q34" s="624" t="str">
        <f t="shared" si="8"/>
        <v/>
      </c>
      <c r="R34" s="625">
        <f t="shared" si="2"/>
        <v>0</v>
      </c>
      <c r="S34" s="625">
        <f t="shared" si="2"/>
        <v>0</v>
      </c>
      <c r="T34" s="625">
        <f t="shared" si="2"/>
        <v>0</v>
      </c>
      <c r="U34" s="626">
        <f t="shared" si="2"/>
        <v>0</v>
      </c>
      <c r="V34" s="606"/>
      <c r="AB34" s="612"/>
      <c r="AC34" s="612"/>
      <c r="AD34" s="612"/>
      <c r="AE34" s="612"/>
      <c r="AF34" s="612"/>
      <c r="AG34" s="649"/>
      <c r="AH34" s="758"/>
      <c r="AI34" s="759"/>
      <c r="AJ34" s="760"/>
      <c r="AK34" s="761"/>
      <c r="AL34" s="758"/>
      <c r="AM34" s="760"/>
      <c r="AN34" s="590" t="s">
        <v>276</v>
      </c>
      <c r="AO34" s="591">
        <f>IF(AO$20&lt;=$AK33,AI33*AM33,0)</f>
        <v>4800</v>
      </c>
      <c r="AP34" s="591">
        <f>IF(AP$20&lt;=$AK33,IF(($AI33-$AO34)*$AM33&lt;AP33,AP33,(AI33-AO34)*AM33),0)</f>
        <v>2880</v>
      </c>
      <c r="AQ34" s="591">
        <f>IF(AQ$20&lt;=$AK33,IF(($AI33-SUM($AO34:AP34))*$AM33&lt;AQ33,AQ33,(($AI33-SUM($AO34:AP34))*$AM33)),0)</f>
        <v>1728</v>
      </c>
      <c r="AR34" s="591">
        <f>IF(AR$20&lt;=$AK33,IF(($AI33-SUM($AO34:AQ34))*$AM33&lt;AR33,AR33,(($AI33-SUM($AO34:AQ34))*$AM33)),0)</f>
        <v>1296</v>
      </c>
      <c r="AS34" s="591">
        <f>IF(AS$20&lt;=$AK33,IF(($AI33-SUM($AO34:AR34))*$AM33&lt;AS33,AS33,(($AI33-SUM($AO34:AR34))*$AM33)),0)</f>
        <v>1296</v>
      </c>
      <c r="AT34" s="591">
        <f>IF(AT$20&lt;=$AK33,IF(($AI33-SUM($AO34:AS34))*$AM33&lt;AT33,AT33,(($AI33-SUM($AO34:AS34))*$AM33)),0)</f>
        <v>0</v>
      </c>
      <c r="AU34" s="591">
        <f>IF(AU$20&lt;=$AK33,IF(($AI33-SUM($AO34:AT34))*$AM33&lt;AU33,AU33,(($AI33-SUM($AO34:AT34))*$AM33)),0)</f>
        <v>0</v>
      </c>
      <c r="AV34" s="591">
        <f>IF(AV$20&lt;=$AK33,IF(($AI33-SUM($AO34:AU34))*$AM33&lt;AV33,AV33,(($AI33-SUM($AO34:AU34))*$AM33)),0)</f>
        <v>0</v>
      </c>
      <c r="AW34" s="591">
        <f>IF(AW$20&lt;=$AK33,IF(($AI33-SUM($AO34:AV34))*$AM33&lt;AW33,AW33,(($AI33-SUM($AO34:AV34))*$AM33)),0)</f>
        <v>0</v>
      </c>
      <c r="AX34" s="591">
        <f>IF(AX$20&lt;=$AK33,IF(($AI33-SUM($AO34:AW34))*$AM33&lt;AX33,AX33,(($AI33-SUM($AO34:AW34))*$AM33)),0)</f>
        <v>0</v>
      </c>
      <c r="AY34" s="591">
        <f>IF(AY$20&lt;=$AK33,IF(($AI33-SUM($AO34:AX34))*$AM33&lt;AY33,AY33,(($AI33-SUM($AO34:AX34))*$AM33)),0)</f>
        <v>0</v>
      </c>
      <c r="AZ34" s="591">
        <f>IF(AZ$20&lt;=$AK33,IF(($AI33-SUM($AO34:AY34))*$AM33&lt;AZ33,AZ33,(($AI33-SUM($AO34:AY34))*$AM33)),0)</f>
        <v>0</v>
      </c>
      <c r="BA34" s="591">
        <f>IF(BA$20&lt;=$AK33,IF(($AI33-SUM($AO34:AZ34))*$AM33&lt;BA33,BA33,(($AI33-SUM($AO34:AZ34))*$AM33)),0)</f>
        <v>0</v>
      </c>
      <c r="BB34" s="591">
        <f>IF(BB$20&lt;=$AK33,IF(($AI33-SUM($AO34:BA34))*$AM33&lt;BB33,BB33,(($AI33-SUM($AO34:BA34))*$AM33)),0)</f>
        <v>0</v>
      </c>
      <c r="BC34" s="591">
        <f>IF(BC$20&lt;=$AK33,IF(($AI33-SUM($AO34:BB34))*$AM33&lt;BC33,BC33,(($AI33-SUM($AO34:BB34))*$AM33)),0)</f>
        <v>0</v>
      </c>
      <c r="BD34" s="591">
        <f>IF(BD$20&lt;=$AK33,IF(($AI33-SUM($AO34:BC34))*$AM33&lt;BD33,BD33,(($AI33-SUM($AO34:BC34))*$AM33)),0)</f>
        <v>0</v>
      </c>
      <c r="BE34" s="591">
        <f>IF(BE$20&lt;=$AK33,IF(($AI33-SUM($AO34:BD34))*$AM33&lt;BE33,BE33,(($AI33-SUM($AO34:BD34))*$AM33)),0)</f>
        <v>0</v>
      </c>
      <c r="BF34" s="591">
        <f>IF(BF$20&lt;=$AK33,IF(($AI33-SUM($AO34:BE34))*$AM33&lt;BF33,BF33,(($AI33-SUM($AO34:BE34))*$AM33)),0)</f>
        <v>0</v>
      </c>
      <c r="BG34" s="591">
        <f>IF(BG$20&lt;=$AK33,IF(($AI33-SUM($AO34:BF34))*$AM33&lt;BG33,BG33,(($AI33-SUM($AO34:BF34))*$AM33)),0)</f>
        <v>0</v>
      </c>
      <c r="BH34" s="591">
        <f>IF(BH$20&lt;=$AK33,IF(($AI33-SUM($AO34:BG34))*$AM33&lt;BH33,BH33,(($AI33-SUM($AO34:BG34))*$AM33)),0)</f>
        <v>0</v>
      </c>
      <c r="BI34" s="591">
        <f>SUM(AO34:BH34)</f>
        <v>12000</v>
      </c>
      <c r="BJ34" s="606"/>
    </row>
    <row r="35" spans="3:62" ht="15" customHeight="1">
      <c r="C35" s="593"/>
      <c r="D35" s="628"/>
      <c r="E35" s="615" t="str">
        <f t="shared" si="0"/>
        <v/>
      </c>
      <c r="F35" s="616"/>
      <c r="G35" s="617" t="str">
        <f t="shared" si="1"/>
        <v/>
      </c>
      <c r="H35" s="618"/>
      <c r="I35" s="619"/>
      <c r="J35" s="620"/>
      <c r="K35" s="615" t="str">
        <f t="shared" si="3"/>
        <v/>
      </c>
      <c r="L35" s="620"/>
      <c r="M35" s="615" t="str">
        <f t="shared" si="4"/>
        <v/>
      </c>
      <c r="N35" s="621">
        <f>IF(AND(M35&gt;0,M35&lt;=12),M35*AO74,IF(AND(M35&gt;12,M35&lt;=24),12*AO74+(M35-12)*AP74,IF(AND(M35&gt;24,M35&lt;=36),12*AO74+12*AP74+(M35-24)*AQ74,IF(AND(M35&gt;36,M35&lt;=48),12*AO74+12*AP74+12*AQ74+(M35-36)*AR74,0))))</f>
        <v>0</v>
      </c>
      <c r="O35" s="622" t="str">
        <f t="shared" si="5"/>
        <v/>
      </c>
      <c r="P35" s="623" t="str">
        <f t="shared" si="7"/>
        <v/>
      </c>
      <c r="Q35" s="624" t="str">
        <f t="shared" si="8"/>
        <v/>
      </c>
      <c r="R35" s="625">
        <f t="shared" si="2"/>
        <v>0</v>
      </c>
      <c r="S35" s="625">
        <f t="shared" si="2"/>
        <v>0</v>
      </c>
      <c r="T35" s="625">
        <f t="shared" si="2"/>
        <v>0</v>
      </c>
      <c r="U35" s="626">
        <f t="shared" si="2"/>
        <v>0</v>
      </c>
      <c r="V35" s="606"/>
      <c r="AG35" s="649"/>
      <c r="AH35" s="758"/>
      <c r="AI35" s="759"/>
      <c r="AJ35" s="760"/>
      <c r="AK35" s="761"/>
      <c r="AL35" s="758"/>
      <c r="AM35" s="760"/>
      <c r="AN35" s="590" t="s">
        <v>277</v>
      </c>
      <c r="AO35" s="591">
        <f>AO34/12</f>
        <v>400</v>
      </c>
      <c r="AP35" s="591">
        <f t="shared" ref="AP35:BH35" si="20">AP34/12</f>
        <v>240</v>
      </c>
      <c r="AQ35" s="591">
        <f t="shared" si="20"/>
        <v>144</v>
      </c>
      <c r="AR35" s="591">
        <f t="shared" si="20"/>
        <v>108</v>
      </c>
      <c r="AS35" s="591">
        <f t="shared" si="20"/>
        <v>108</v>
      </c>
      <c r="AT35" s="591">
        <f t="shared" si="20"/>
        <v>0</v>
      </c>
      <c r="AU35" s="591">
        <f t="shared" si="20"/>
        <v>0</v>
      </c>
      <c r="AV35" s="591">
        <f t="shared" si="20"/>
        <v>0</v>
      </c>
      <c r="AW35" s="591">
        <f t="shared" si="20"/>
        <v>0</v>
      </c>
      <c r="AX35" s="591">
        <f t="shared" si="20"/>
        <v>0</v>
      </c>
      <c r="AY35" s="591">
        <f t="shared" si="20"/>
        <v>0</v>
      </c>
      <c r="AZ35" s="591">
        <f t="shared" si="20"/>
        <v>0</v>
      </c>
      <c r="BA35" s="591">
        <f t="shared" si="20"/>
        <v>0</v>
      </c>
      <c r="BB35" s="591">
        <f t="shared" si="20"/>
        <v>0</v>
      </c>
      <c r="BC35" s="591">
        <f t="shared" si="20"/>
        <v>0</v>
      </c>
      <c r="BD35" s="591">
        <f t="shared" si="20"/>
        <v>0</v>
      </c>
      <c r="BE35" s="591">
        <f t="shared" si="20"/>
        <v>0</v>
      </c>
      <c r="BF35" s="591">
        <f t="shared" si="20"/>
        <v>0</v>
      </c>
      <c r="BG35" s="591">
        <f t="shared" si="20"/>
        <v>0</v>
      </c>
      <c r="BH35" s="591">
        <f t="shared" si="20"/>
        <v>0</v>
      </c>
      <c r="BI35" s="594"/>
      <c r="BJ35" s="606"/>
    </row>
    <row r="36" spans="3:62" ht="15" customHeight="1">
      <c r="C36" s="593"/>
      <c r="D36" s="628"/>
      <c r="E36" s="615" t="str">
        <f t="shared" si="0"/>
        <v/>
      </c>
      <c r="F36" s="616"/>
      <c r="G36" s="617" t="str">
        <f t="shared" si="1"/>
        <v/>
      </c>
      <c r="H36" s="618"/>
      <c r="I36" s="619"/>
      <c r="J36" s="620"/>
      <c r="K36" s="615" t="str">
        <f t="shared" si="3"/>
        <v/>
      </c>
      <c r="L36" s="620"/>
      <c r="M36" s="615" t="str">
        <f t="shared" si="4"/>
        <v/>
      </c>
      <c r="N36" s="621">
        <f>IF(AND(M36&gt;0,M36&lt;=12),M36*AO77,IF(AND(M36&gt;12,M36&lt;=24),12*AO77+(M36-12)*AP77,IF(AND(M36&gt;24,M36&lt;=36),12*AO77+12*AP77+(M36-24)*AQ77,IF(AND(M36&gt;36,M36&lt;=48),12*AO77+12*AP77+12*AQ77+(M36-36)*AR77,0))))</f>
        <v>0</v>
      </c>
      <c r="O36" s="622" t="str">
        <f t="shared" si="5"/>
        <v/>
      </c>
      <c r="P36" s="623" t="str">
        <f t="shared" si="7"/>
        <v/>
      </c>
      <c r="Q36" s="624" t="str">
        <f t="shared" si="8"/>
        <v/>
      </c>
      <c r="R36" s="625">
        <f t="shared" si="2"/>
        <v>0</v>
      </c>
      <c r="S36" s="625">
        <f t="shared" si="2"/>
        <v>0</v>
      </c>
      <c r="T36" s="625">
        <f t="shared" si="2"/>
        <v>0</v>
      </c>
      <c r="U36" s="626">
        <f t="shared" si="2"/>
        <v>0</v>
      </c>
      <c r="V36" s="606"/>
      <c r="AG36" s="649"/>
      <c r="AH36" s="758">
        <v>6</v>
      </c>
      <c r="AI36" s="759">
        <f>H23</f>
        <v>0</v>
      </c>
      <c r="AJ36" s="760">
        <f>I23</f>
        <v>0</v>
      </c>
      <c r="AK36" s="761">
        <f t="shared" ref="AK36" si="21">IF(AJ36=0,0,ROUNDUP(100/AJ36/100,2))</f>
        <v>0</v>
      </c>
      <c r="AL36" s="758">
        <f t="shared" ref="AL36" si="22">IF(AND(AK36&gt;=1,AK36&lt;=4),1.5,IF(AND(AK36&gt;4,AK36&lt;=6),2,2.5))</f>
        <v>2.5</v>
      </c>
      <c r="AM36" s="760">
        <f>IF(AJ36=100%,100%,AJ36*AL36)</f>
        <v>0</v>
      </c>
      <c r="AN36" s="590" t="s">
        <v>274</v>
      </c>
      <c r="AO36" s="591" t="str">
        <f>IF(AK36=0,"",AI36/AK36)</f>
        <v/>
      </c>
      <c r="AP36" s="591" t="str">
        <f>IF($AK36-AP$20&lt;0,"",($AI36-$AO37)/($AK36-AO$20))</f>
        <v/>
      </c>
      <c r="AQ36" s="591" t="str">
        <f>IF($AK36-AQ$20&lt;0,"",($AI36-SUM($AO37:AP37))/($AK36-AP$20))</f>
        <v/>
      </c>
      <c r="AR36" s="591" t="str">
        <f>IF($AK36-AR$20&lt;0,"",($AI36-SUM($AO37:AQ37))/($AK36-AQ$20))</f>
        <v/>
      </c>
      <c r="AS36" s="591" t="str">
        <f>IF($AK36-AS$20&lt;0,"",($AI36-SUM($AO37:AR37))/($AK36-AR$20))</f>
        <v/>
      </c>
      <c r="AT36" s="591" t="str">
        <f>IF($AK36-AT$20&lt;0,"",($AI36-SUM($AO37:AS37))/($AK36-AS$20))</f>
        <v/>
      </c>
      <c r="AU36" s="591" t="str">
        <f>IF($AK36-AU$20&lt;0,"",($AI36-SUM($AO37:AT37))/($AK36-AT$20))</f>
        <v/>
      </c>
      <c r="AV36" s="591" t="str">
        <f>IF($AK36-AV$20&lt;0,"",($AI36-SUM($AO37:AU37))/($AK36-AU$20))</f>
        <v/>
      </c>
      <c r="AW36" s="591" t="str">
        <f>IF($AK36-AW$20&lt;0,"",($AI36-SUM($AO37:AV37))/($AK36-AV$20))</f>
        <v/>
      </c>
      <c r="AX36" s="591" t="str">
        <f>IF($AK36-AX$20&lt;0,"",($AI36-SUM($AO37:AW37))/($AK36-AW$20))</f>
        <v/>
      </c>
      <c r="AY36" s="591" t="str">
        <f>IF($AK36-AY$20&lt;0,"",($AI36-SUM($AO37:AX37))/($AK36-AX$20))</f>
        <v/>
      </c>
      <c r="AZ36" s="591" t="str">
        <f>IF($AK36-AZ$20&lt;0,"",($AI36-SUM($AO37:AY37))/($AK36-AY$20))</f>
        <v/>
      </c>
      <c r="BA36" s="591" t="str">
        <f>IF($AK36-BA$20&lt;0,"",($AI36-SUM($AO37:AZ37))/($AK36-AZ$20))</f>
        <v/>
      </c>
      <c r="BB36" s="591" t="str">
        <f>IF($AK36-BB$20&lt;0,"",($AI36-SUM($AO37:BA37))/($AK36-BA$20))</f>
        <v/>
      </c>
      <c r="BC36" s="591" t="str">
        <f>IF($AK36-BC$20&lt;0,"",($AI36-SUM($AO37:BB37))/($AK36-BB$20))</f>
        <v/>
      </c>
      <c r="BD36" s="591" t="str">
        <f>IF($AK36-BD$20&lt;0,"",($AI36-SUM($AO37:BC37))/($AK36-BC$20))</f>
        <v/>
      </c>
      <c r="BE36" s="591" t="str">
        <f>IF($AK36-BE$20&lt;0,"",($AI36-SUM($AO37:BD37))/($AK36-BD$20))</f>
        <v/>
      </c>
      <c r="BF36" s="591" t="str">
        <f>IF($AK36-BF$20&lt;0,"",($AI36-SUM($AO37:BE37))/($AK36-BE$20))</f>
        <v/>
      </c>
      <c r="BG36" s="591" t="str">
        <f>IF($AK36-BG$20&lt;0,"",($AI36-SUM($AO37:BF37))/($AK36-BF$20))</f>
        <v/>
      </c>
      <c r="BH36" s="591" t="str">
        <f>IF($AK36-BH$20&lt;0,"",($AI36-SUM($AO37:BG37))/($AK36-BG$20))</f>
        <v/>
      </c>
      <c r="BI36" s="592"/>
      <c r="BJ36" s="606"/>
    </row>
    <row r="37" spans="3:62" ht="15" customHeight="1">
      <c r="C37" s="593"/>
      <c r="D37" s="628"/>
      <c r="E37" s="615" t="str">
        <f t="shared" si="0"/>
        <v/>
      </c>
      <c r="F37" s="616"/>
      <c r="G37" s="617" t="str">
        <f t="shared" si="1"/>
        <v/>
      </c>
      <c r="H37" s="618"/>
      <c r="I37" s="619"/>
      <c r="J37" s="620"/>
      <c r="K37" s="615" t="str">
        <f t="shared" si="3"/>
        <v/>
      </c>
      <c r="L37" s="620"/>
      <c r="M37" s="615" t="str">
        <f t="shared" si="4"/>
        <v/>
      </c>
      <c r="N37" s="621">
        <f>IF(AND(M37&gt;0,M37&lt;=12),M37*AO80,IF(AND(M37&gt;12,M37&lt;=24),12*AO80+(M37-12)*AP80,IF(AND(M37&gt;24,M37&lt;=36),12*AO80+12*AP80+(M37-24)*AQ80,IF(AND(M37&gt;36,M37&lt;=48),12*AO80+12*AP80+12*AQ80+(M37-36)*AR80,0))))</f>
        <v>0</v>
      </c>
      <c r="O37" s="622" t="str">
        <f t="shared" si="5"/>
        <v/>
      </c>
      <c r="P37" s="623" t="str">
        <f t="shared" si="7"/>
        <v/>
      </c>
      <c r="Q37" s="624" t="str">
        <f t="shared" si="8"/>
        <v/>
      </c>
      <c r="R37" s="625">
        <f t="shared" si="2"/>
        <v>0</v>
      </c>
      <c r="S37" s="625">
        <f t="shared" si="2"/>
        <v>0</v>
      </c>
      <c r="T37" s="625">
        <f t="shared" si="2"/>
        <v>0</v>
      </c>
      <c r="U37" s="626">
        <f t="shared" si="2"/>
        <v>0</v>
      </c>
      <c r="V37" s="606"/>
      <c r="AG37" s="649"/>
      <c r="AH37" s="758"/>
      <c r="AI37" s="759"/>
      <c r="AJ37" s="760"/>
      <c r="AK37" s="761"/>
      <c r="AL37" s="758"/>
      <c r="AM37" s="760"/>
      <c r="AN37" s="590" t="s">
        <v>276</v>
      </c>
      <c r="AO37" s="591">
        <f>IF(AO$20&lt;=$AK36,AI36*AM36,0)</f>
        <v>0</v>
      </c>
      <c r="AP37" s="591">
        <f>IF(AP$20&lt;=$AK36,IF(($AI36-$AO37)*$AM36&lt;AP36,AP36,(AI36-AO37)*AM36),0)</f>
        <v>0</v>
      </c>
      <c r="AQ37" s="591">
        <f>IF(AQ$20&lt;=$AK36,IF(($AI36-SUM($AO37:AP37))*$AM36&lt;AQ36,AQ36,(($AI36-SUM($AO37:AP37))*$AM36)),0)</f>
        <v>0</v>
      </c>
      <c r="AR37" s="591">
        <f>IF(AR$20&lt;=$AK36,IF(($AI36-SUM($AO37:AQ37))*$AM36&lt;AR36,AR36,(($AI36-SUM($AO37:AQ37))*$AM36)),0)</f>
        <v>0</v>
      </c>
      <c r="AS37" s="591">
        <f>IF(AS$20&lt;=$AK36,IF(($AI36-SUM($AO37:AR37))*$AM36&lt;AS36,AS36,(($AI36-SUM($AO37:AR37))*$AM36)),0)</f>
        <v>0</v>
      </c>
      <c r="AT37" s="591">
        <f>IF(AT$20&lt;=$AK36,IF(($AI36-SUM($AO37:AS37))*$AM36&lt;AT36,AT36,(($AI36-SUM($AO37:AS37))*$AM36)),0)</f>
        <v>0</v>
      </c>
      <c r="AU37" s="591">
        <f>IF(AU$20&lt;=$AK36,IF(($AI36-SUM($AO37:AT37))*$AM36&lt;AU36,AU36,(($AI36-SUM($AO37:AT37))*$AM36)),0)</f>
        <v>0</v>
      </c>
      <c r="AV37" s="591">
        <f>IF(AV$20&lt;=$AK36,IF(($AI36-SUM($AO37:AU37))*$AM36&lt;AV36,AV36,(($AI36-SUM($AO37:AU37))*$AM36)),0)</f>
        <v>0</v>
      </c>
      <c r="AW37" s="591">
        <f>IF(AW$20&lt;=$AK36,IF(($AI36-SUM($AO37:AV37))*$AM36&lt;AW36,AW36,(($AI36-SUM($AO37:AV37))*$AM36)),0)</f>
        <v>0</v>
      </c>
      <c r="AX37" s="591">
        <f>IF(AX$20&lt;=$AK36,IF(($AI36-SUM($AO37:AW37))*$AM36&lt;AX36,AX36,(($AI36-SUM($AO37:AW37))*$AM36)),0)</f>
        <v>0</v>
      </c>
      <c r="AY37" s="591">
        <f>IF(AY$20&lt;=$AK36,IF(($AI36-SUM($AO37:AX37))*$AM36&lt;AY36,AY36,(($AI36-SUM($AO37:AX37))*$AM36)),0)</f>
        <v>0</v>
      </c>
      <c r="AZ37" s="591">
        <f>IF(AZ$20&lt;=$AK36,IF(($AI36-SUM($AO37:AY37))*$AM36&lt;AZ36,AZ36,(($AI36-SUM($AO37:AY37))*$AM36)),0)</f>
        <v>0</v>
      </c>
      <c r="BA37" s="591">
        <f>IF(BA$20&lt;=$AK36,IF(($AI36-SUM($AO37:AZ37))*$AM36&lt;BA36,BA36,(($AI36-SUM($AO37:AZ37))*$AM36)),0)</f>
        <v>0</v>
      </c>
      <c r="BB37" s="591">
        <f>IF(BB$20&lt;=$AK36,IF(($AI36-SUM($AO37:BA37))*$AM36&lt;BB36,BB36,(($AI36-SUM($AO37:BA37))*$AM36)),0)</f>
        <v>0</v>
      </c>
      <c r="BC37" s="591">
        <f>IF(BC$20&lt;=$AK36,IF(($AI36-SUM($AO37:BB37))*$AM36&lt;BC36,BC36,(($AI36-SUM($AO37:BB37))*$AM36)),0)</f>
        <v>0</v>
      </c>
      <c r="BD37" s="591">
        <f>IF(BD$20&lt;=$AK36,IF(($AI36-SUM($AO37:BC37))*$AM36&lt;BD36,BD36,(($AI36-SUM($AO37:BC37))*$AM36)),0)</f>
        <v>0</v>
      </c>
      <c r="BE37" s="591">
        <f>IF(BE$20&lt;=$AK36,IF(($AI36-SUM($AO37:BD37))*$AM36&lt;BE36,BE36,(($AI36-SUM($AO37:BD37))*$AM36)),0)</f>
        <v>0</v>
      </c>
      <c r="BF37" s="591">
        <f>IF(BF$20&lt;=$AK36,IF(($AI36-SUM($AO37:BE37))*$AM36&lt;BF36,BF36,(($AI36-SUM($AO37:BE37))*$AM36)),0)</f>
        <v>0</v>
      </c>
      <c r="BG37" s="591">
        <f>IF(BG$20&lt;=$AK36,IF(($AI36-SUM($AO37:BF37))*$AM36&lt;BG36,BG36,(($AI36-SUM($AO37:BF37))*$AM36)),0)</f>
        <v>0</v>
      </c>
      <c r="BH37" s="591">
        <f>IF(BH$20&lt;=$AK36,IF(($AI36-SUM($AO37:BG37))*$AM36&lt;BH36,BH36,(($AI36-SUM($AO37:BG37))*$AM36)),0)</f>
        <v>0</v>
      </c>
      <c r="BI37" s="591">
        <f>SUM(AO37:BH37)</f>
        <v>0</v>
      </c>
      <c r="BJ37" s="606"/>
    </row>
    <row r="38" spans="3:62" ht="15" customHeight="1">
      <c r="C38" s="593"/>
      <c r="D38" s="628"/>
      <c r="E38" s="615" t="str">
        <f t="shared" si="0"/>
        <v/>
      </c>
      <c r="F38" s="616"/>
      <c r="G38" s="617" t="str">
        <f t="shared" si="1"/>
        <v/>
      </c>
      <c r="H38" s="618"/>
      <c r="I38" s="619"/>
      <c r="J38" s="620"/>
      <c r="K38" s="615" t="str">
        <f t="shared" si="3"/>
        <v/>
      </c>
      <c r="L38" s="620"/>
      <c r="M38" s="615" t="str">
        <f t="shared" si="4"/>
        <v/>
      </c>
      <c r="N38" s="621">
        <f>IF(AND(M38&gt;0,M38&lt;=12),M38*AO83,IF(AND(M38&gt;12,M38&lt;=24),12*AO83+(M38-12)*AP83,IF(AND(M38&gt;24,M38&lt;=36),12*AO83+12*AP83+(M38-24)*AQ83,IF(AND(M38&gt;36,M38&lt;=48),12*AO83+12*AP83+12*AQ83+(M38-36)*AR83,0))))</f>
        <v>0</v>
      </c>
      <c r="O38" s="622" t="str">
        <f t="shared" si="5"/>
        <v/>
      </c>
      <c r="P38" s="623" t="str">
        <f t="shared" si="7"/>
        <v/>
      </c>
      <c r="Q38" s="624" t="str">
        <f t="shared" si="8"/>
        <v/>
      </c>
      <c r="R38" s="625">
        <f t="shared" si="2"/>
        <v>0</v>
      </c>
      <c r="S38" s="625">
        <f t="shared" si="2"/>
        <v>0</v>
      </c>
      <c r="T38" s="625">
        <f t="shared" si="2"/>
        <v>0</v>
      </c>
      <c r="U38" s="626">
        <f t="shared" si="2"/>
        <v>0</v>
      </c>
      <c r="V38" s="606"/>
      <c r="AG38" s="649"/>
      <c r="AH38" s="758"/>
      <c r="AI38" s="759"/>
      <c r="AJ38" s="760"/>
      <c r="AK38" s="761"/>
      <c r="AL38" s="758"/>
      <c r="AM38" s="760"/>
      <c r="AN38" s="590" t="s">
        <v>277</v>
      </c>
      <c r="AO38" s="591">
        <f>AO37/12</f>
        <v>0</v>
      </c>
      <c r="AP38" s="591">
        <f t="shared" ref="AP38:BH38" si="23">AP37/12</f>
        <v>0</v>
      </c>
      <c r="AQ38" s="591">
        <f t="shared" si="23"/>
        <v>0</v>
      </c>
      <c r="AR38" s="591">
        <f t="shared" si="23"/>
        <v>0</v>
      </c>
      <c r="AS38" s="591">
        <f t="shared" si="23"/>
        <v>0</v>
      </c>
      <c r="AT38" s="591">
        <f t="shared" si="23"/>
        <v>0</v>
      </c>
      <c r="AU38" s="591">
        <f t="shared" si="23"/>
        <v>0</v>
      </c>
      <c r="AV38" s="591">
        <f t="shared" si="23"/>
        <v>0</v>
      </c>
      <c r="AW38" s="591">
        <f t="shared" si="23"/>
        <v>0</v>
      </c>
      <c r="AX38" s="591">
        <f t="shared" si="23"/>
        <v>0</v>
      </c>
      <c r="AY38" s="591">
        <f t="shared" si="23"/>
        <v>0</v>
      </c>
      <c r="AZ38" s="591">
        <f t="shared" si="23"/>
        <v>0</v>
      </c>
      <c r="BA38" s="591">
        <f t="shared" si="23"/>
        <v>0</v>
      </c>
      <c r="BB38" s="591">
        <f t="shared" si="23"/>
        <v>0</v>
      </c>
      <c r="BC38" s="591">
        <f t="shared" si="23"/>
        <v>0</v>
      </c>
      <c r="BD38" s="591">
        <f t="shared" si="23"/>
        <v>0</v>
      </c>
      <c r="BE38" s="591">
        <f t="shared" si="23"/>
        <v>0</v>
      </c>
      <c r="BF38" s="591">
        <f t="shared" si="23"/>
        <v>0</v>
      </c>
      <c r="BG38" s="591">
        <f t="shared" si="23"/>
        <v>0</v>
      </c>
      <c r="BH38" s="591">
        <f t="shared" si="23"/>
        <v>0</v>
      </c>
      <c r="BI38" s="594"/>
      <c r="BJ38" s="606"/>
    </row>
    <row r="39" spans="3:62" ht="25.5" customHeight="1" thickBot="1">
      <c r="C39" s="593"/>
      <c r="D39" s="629"/>
      <c r="E39" s="762" t="s">
        <v>25</v>
      </c>
      <c r="F39" s="762"/>
      <c r="G39" s="762"/>
      <c r="H39" s="762"/>
      <c r="I39" s="762"/>
      <c r="J39" s="762"/>
      <c r="K39" s="762"/>
      <c r="L39" s="762"/>
      <c r="M39" s="762"/>
      <c r="N39" s="630">
        <f>ROUND(SUM(N18:N38),2)</f>
        <v>50508.13</v>
      </c>
      <c r="O39" s="631"/>
      <c r="P39" s="630">
        <f>ROUND(SUM(P18:P38),2)</f>
        <v>5491.88</v>
      </c>
      <c r="Q39" s="630">
        <f>ROUND(SUM(Q18:Q38),2)</f>
        <v>56000</v>
      </c>
      <c r="R39" s="630">
        <f>ROUND(SUM(R18:R38),2)</f>
        <v>50508.13</v>
      </c>
      <c r="S39" s="630">
        <f t="shared" ref="S39:U39" si="24">ROUND(SUM(S18:S38),2)</f>
        <v>0</v>
      </c>
      <c r="T39" s="630">
        <f t="shared" si="24"/>
        <v>0</v>
      </c>
      <c r="U39" s="632">
        <f t="shared" si="24"/>
        <v>0</v>
      </c>
      <c r="V39" s="606"/>
      <c r="AG39" s="649"/>
      <c r="AH39" s="758">
        <v>7</v>
      </c>
      <c r="AI39" s="759">
        <f>H24</f>
        <v>0</v>
      </c>
      <c r="AJ39" s="760">
        <f>I24</f>
        <v>0</v>
      </c>
      <c r="AK39" s="761">
        <f t="shared" ref="AK39" si="25">IF(AJ39=0,0,ROUNDUP(100/AJ39/100,2))</f>
        <v>0</v>
      </c>
      <c r="AL39" s="758">
        <f t="shared" ref="AL39" si="26">IF(AND(AK39&gt;=1,AK39&lt;=4),1.5,IF(AND(AK39&gt;4,AK39&lt;=6),2,2.5))</f>
        <v>2.5</v>
      </c>
      <c r="AM39" s="760">
        <f>IF(AJ39=100%,100%,AJ39*AL39)</f>
        <v>0</v>
      </c>
      <c r="AN39" s="590" t="s">
        <v>274</v>
      </c>
      <c r="AO39" s="595" t="str">
        <f>IF(AK39=0,"",AI39/AK39)</f>
        <v/>
      </c>
      <c r="AP39" s="591" t="str">
        <f>IF($AK39-AP$20&lt;0,"",($AI39-$AO40)/($AK39-AO$20))</f>
        <v/>
      </c>
      <c r="AQ39" s="591" t="str">
        <f>IF($AK39-AQ$20&lt;0,"",($AI39-SUM($AO40:AP40))/($AK39-AP$20))</f>
        <v/>
      </c>
      <c r="AR39" s="591" t="str">
        <f>IF($AK39-AR$20&lt;0,"",($AI39-SUM($AO40:AQ40))/($AK39-AQ$20))</f>
        <v/>
      </c>
      <c r="AS39" s="591" t="str">
        <f>IF($AK39-AS$20&lt;0,"",($AI39-SUM($AO40:AR40))/($AK39-AR$20))</f>
        <v/>
      </c>
      <c r="AT39" s="591" t="str">
        <f>IF($AK39-AT$20&lt;0,"",($AI39-SUM($AO40:AS40))/($AK39-AS$20))</f>
        <v/>
      </c>
      <c r="AU39" s="591" t="str">
        <f>IF($AK39-AU$20&lt;0,"",($AI39-SUM($AO40:AT40))/($AK39-AT$20))</f>
        <v/>
      </c>
      <c r="AV39" s="591" t="str">
        <f>IF($AK39-AV$20&lt;0,"",($AI39-SUM($AO40:AU40))/($AK39-AU$20))</f>
        <v/>
      </c>
      <c r="AW39" s="591" t="str">
        <f>IF($AK39-AW$20&lt;0,"",($AI39-SUM($AO40:AV40))/($AK39-AV$20))</f>
        <v/>
      </c>
      <c r="AX39" s="591" t="str">
        <f>IF($AK39-AX$20&lt;0,"",($AI39-SUM($AO40:AW40))/($AK39-AW$20))</f>
        <v/>
      </c>
      <c r="AY39" s="591" t="str">
        <f>IF($AK39-AY$20&lt;0,"",($AI39-SUM($AO40:AX40))/($AK39-AX$20))</f>
        <v/>
      </c>
      <c r="AZ39" s="591" t="str">
        <f>IF($AK39-AZ$20&lt;0,"",($AI39-SUM($AO40:AY40))/($AK39-AY$20))</f>
        <v/>
      </c>
      <c r="BA39" s="591" t="str">
        <f>IF($AK39-BA$20&lt;0,"",($AI39-SUM($AO40:AZ40))/($AK39-AZ$20))</f>
        <v/>
      </c>
      <c r="BB39" s="591" t="str">
        <f>IF($AK39-BB$20&lt;0,"",($AI39-SUM($AO40:BA40))/($AK39-BA$20))</f>
        <v/>
      </c>
      <c r="BC39" s="591" t="str">
        <f>IF($AK39-BC$20&lt;0,"",($AI39-SUM($AO40:BB40))/($AK39-BB$20))</f>
        <v/>
      </c>
      <c r="BD39" s="591" t="str">
        <f>IF($AK39-BD$20&lt;0,"",($AI39-SUM($AO40:BC40))/($AK39-BC$20))</f>
        <v/>
      </c>
      <c r="BE39" s="591" t="str">
        <f>IF($AK39-BE$20&lt;0,"",($AI39-SUM($AO40:BD40))/($AK39-BD$20))</f>
        <v/>
      </c>
      <c r="BF39" s="591" t="str">
        <f>IF($AK39-BF$20&lt;0,"",($AI39-SUM($AO40:BE40))/($AK39-BE$20))</f>
        <v/>
      </c>
      <c r="BG39" s="591" t="str">
        <f>IF($AK39-BG$20&lt;0,"",($AI39-SUM($AO40:BF40))/($AK39-BF$20))</f>
        <v/>
      </c>
      <c r="BH39" s="591" t="str">
        <f>IF($AK39-BH$20&lt;0,"",($AI39-SUM($AO40:BG40))/($AK39-BG$20))</f>
        <v/>
      </c>
      <c r="BI39" s="592"/>
      <c r="BJ39" s="606"/>
    </row>
    <row r="40" spans="3:62" ht="15" customHeight="1">
      <c r="D40" s="610"/>
      <c r="E40" s="611"/>
      <c r="F40" s="612"/>
      <c r="G40" s="612"/>
      <c r="H40" s="612"/>
      <c r="I40" s="612"/>
      <c r="J40" s="613"/>
      <c r="K40" s="613"/>
      <c r="L40" s="613"/>
      <c r="M40" s="613"/>
      <c r="N40" s="614"/>
      <c r="O40" s="614"/>
      <c r="P40" s="614"/>
      <c r="Q40" s="614"/>
      <c r="R40" s="614"/>
      <c r="S40" s="614"/>
      <c r="T40" s="614"/>
      <c r="U40" s="614"/>
      <c r="AG40" s="649"/>
      <c r="AH40" s="758"/>
      <c r="AI40" s="759"/>
      <c r="AJ40" s="760"/>
      <c r="AK40" s="761"/>
      <c r="AL40" s="758"/>
      <c r="AM40" s="760"/>
      <c r="AN40" s="590" t="s">
        <v>276</v>
      </c>
      <c r="AO40" s="591">
        <f>IF(AO$20&lt;=$AK39,AI39*AM39,0)</f>
        <v>0</v>
      </c>
      <c r="AP40" s="591">
        <f>IF(AP$20&lt;=$AK39,IF(($AI39-$AO40)*$AM39&lt;AP39,AP39,(AI39-AO40)*AM39),0)</f>
        <v>0</v>
      </c>
      <c r="AQ40" s="591">
        <f>IF(AQ$20&lt;=$AK39,IF(($AI39-SUM($AO40:AP40))*$AM39&lt;AQ39,AQ39,(($AI39-SUM($AO40:AP40))*$AM39)),0)</f>
        <v>0</v>
      </c>
      <c r="AR40" s="591">
        <f>IF(AR$20&lt;=$AK39,IF(($AI39-SUM($AO40:AQ40))*$AM39&lt;AR39,AR39,(($AI39-SUM($AO40:AQ40))*$AM39)),0)</f>
        <v>0</v>
      </c>
      <c r="AS40" s="591">
        <f>IF(AS$20&lt;=$AK39,IF(($AI39-SUM($AO40:AR40))*$AM39&lt;AS39,AS39,(($AI39-SUM($AO40:AR40))*$AM39)),0)</f>
        <v>0</v>
      </c>
      <c r="AT40" s="591">
        <f>IF(AT$20&lt;=$AK39,IF(($AI39-SUM($AO40:AS40))*$AM39&lt;AT39,AT39,(($AI39-SUM($AO40:AS40))*$AM39)),0)</f>
        <v>0</v>
      </c>
      <c r="AU40" s="591">
        <f>IF(AU$20&lt;=$AK39,IF(($AI39-SUM($AO40:AT40))*$AM39&lt;AU39,AU39,(($AI39-SUM($AO40:AT40))*$AM39)),0)</f>
        <v>0</v>
      </c>
      <c r="AV40" s="591">
        <f>IF(AV$20&lt;=$AK39,IF(($AI39-SUM($AO40:AU40))*$AM39&lt;AV39,AV39,(($AI39-SUM($AO40:AU40))*$AM39)),0)</f>
        <v>0</v>
      </c>
      <c r="AW40" s="591">
        <f>IF(AW$20&lt;=$AK39,IF(($AI39-SUM($AO40:AV40))*$AM39&lt;AW39,AW39,(($AI39-SUM($AO40:AV40))*$AM39)),0)</f>
        <v>0</v>
      </c>
      <c r="AX40" s="591">
        <f>IF(AX$20&lt;=$AK39,IF(($AI39-SUM($AO40:AW40))*$AM39&lt;AX39,AX39,(($AI39-SUM($AO40:AW40))*$AM39)),0)</f>
        <v>0</v>
      </c>
      <c r="AY40" s="591">
        <f>IF(AY$20&lt;=$AK39,IF(($AI39-SUM($AO40:AX40))*$AM39&lt;AY39,AY39,(($AI39-SUM($AO40:AX40))*$AM39)),0)</f>
        <v>0</v>
      </c>
      <c r="AZ40" s="591">
        <f>IF(AZ$20&lt;=$AK39,IF(($AI39-SUM($AO40:AY40))*$AM39&lt;AZ39,AZ39,(($AI39-SUM($AO40:AY40))*$AM39)),0)</f>
        <v>0</v>
      </c>
      <c r="BA40" s="591">
        <f>IF(BA$20&lt;=$AK39,IF(($AI39-SUM($AO40:AZ40))*$AM39&lt;BA39,BA39,(($AI39-SUM($AO40:AZ40))*$AM39)),0)</f>
        <v>0</v>
      </c>
      <c r="BB40" s="591">
        <f>IF(BB$20&lt;=$AK39,IF(($AI39-SUM($AO40:BA40))*$AM39&lt;BB39,BB39,(($AI39-SUM($AO40:BA40))*$AM39)),0)</f>
        <v>0</v>
      </c>
      <c r="BC40" s="591">
        <f>IF(BC$20&lt;=$AK39,IF(($AI39-SUM($AO40:BB40))*$AM39&lt;BC39,BC39,(($AI39-SUM($AO40:BB40))*$AM39)),0)</f>
        <v>0</v>
      </c>
      <c r="BD40" s="591">
        <f>IF(BD$20&lt;=$AK39,IF(($AI39-SUM($AO40:BC40))*$AM39&lt;BD39,BD39,(($AI39-SUM($AO40:BC40))*$AM39)),0)</f>
        <v>0</v>
      </c>
      <c r="BE40" s="591">
        <f>IF(BE$20&lt;=$AK39,IF(($AI39-SUM($AO40:BD40))*$AM39&lt;BE39,BE39,(($AI39-SUM($AO40:BD40))*$AM39)),0)</f>
        <v>0</v>
      </c>
      <c r="BF40" s="591">
        <f>IF(BF$20&lt;=$AK39,IF(($AI39-SUM($AO40:BE40))*$AM39&lt;BF39,BF39,(($AI39-SUM($AO40:BE40))*$AM39)),0)</f>
        <v>0</v>
      </c>
      <c r="BG40" s="591">
        <f>IF(BG$20&lt;=$AK39,IF(($AI39-SUM($AO40:BF40))*$AM39&lt;BG39,BG39,(($AI39-SUM($AO40:BF40))*$AM39)),0)</f>
        <v>0</v>
      </c>
      <c r="BH40" s="591">
        <f>IF(BH$20&lt;=$AK39,IF(($AI39-SUM($AO40:BG40))*$AM39&lt;BH39,BH39,(($AI39-SUM($AO40:BG40))*$AM39)),0)</f>
        <v>0</v>
      </c>
      <c r="BI40" s="591">
        <f>SUM(AO40:BH40)</f>
        <v>0</v>
      </c>
      <c r="BJ40" s="606"/>
    </row>
    <row r="41" spans="3:62" ht="15" customHeight="1">
      <c r="J41" s="599"/>
      <c r="K41" s="599"/>
      <c r="L41" s="599"/>
      <c r="M41" s="599"/>
      <c r="N41" s="598"/>
      <c r="O41" s="598"/>
      <c r="P41" s="598"/>
      <c r="Q41" s="598"/>
      <c r="R41" s="598"/>
      <c r="S41" s="598"/>
      <c r="T41" s="598"/>
      <c r="U41" s="598"/>
      <c r="AG41" s="649"/>
      <c r="AH41" s="758"/>
      <c r="AI41" s="759"/>
      <c r="AJ41" s="760"/>
      <c r="AK41" s="761"/>
      <c r="AL41" s="758"/>
      <c r="AM41" s="760"/>
      <c r="AN41" s="590" t="s">
        <v>277</v>
      </c>
      <c r="AO41" s="591">
        <f>AO40/12</f>
        <v>0</v>
      </c>
      <c r="AP41" s="591">
        <f t="shared" ref="AP41:BH41" si="27">AP40/12</f>
        <v>0</v>
      </c>
      <c r="AQ41" s="591">
        <f t="shared" si="27"/>
        <v>0</v>
      </c>
      <c r="AR41" s="591">
        <f t="shared" si="27"/>
        <v>0</v>
      </c>
      <c r="AS41" s="591">
        <f t="shared" si="27"/>
        <v>0</v>
      </c>
      <c r="AT41" s="591">
        <f t="shared" si="27"/>
        <v>0</v>
      </c>
      <c r="AU41" s="591">
        <f t="shared" si="27"/>
        <v>0</v>
      </c>
      <c r="AV41" s="591">
        <f t="shared" si="27"/>
        <v>0</v>
      </c>
      <c r="AW41" s="591">
        <f t="shared" si="27"/>
        <v>0</v>
      </c>
      <c r="AX41" s="591">
        <f t="shared" si="27"/>
        <v>0</v>
      </c>
      <c r="AY41" s="591">
        <f t="shared" si="27"/>
        <v>0</v>
      </c>
      <c r="AZ41" s="591">
        <f t="shared" si="27"/>
        <v>0</v>
      </c>
      <c r="BA41" s="591">
        <f t="shared" si="27"/>
        <v>0</v>
      </c>
      <c r="BB41" s="591">
        <f t="shared" si="27"/>
        <v>0</v>
      </c>
      <c r="BC41" s="591">
        <f t="shared" si="27"/>
        <v>0</v>
      </c>
      <c r="BD41" s="591">
        <f t="shared" si="27"/>
        <v>0</v>
      </c>
      <c r="BE41" s="591">
        <f t="shared" si="27"/>
        <v>0</v>
      </c>
      <c r="BF41" s="591">
        <f t="shared" si="27"/>
        <v>0</v>
      </c>
      <c r="BG41" s="591">
        <f t="shared" si="27"/>
        <v>0</v>
      </c>
      <c r="BH41" s="591">
        <f t="shared" si="27"/>
        <v>0</v>
      </c>
      <c r="BI41" s="594"/>
      <c r="BJ41" s="606"/>
    </row>
    <row r="42" spans="3:62" ht="15" customHeight="1">
      <c r="J42" s="599"/>
      <c r="K42" s="599"/>
      <c r="L42" s="599"/>
      <c r="M42" s="599"/>
      <c r="N42" s="599"/>
      <c r="O42" s="599"/>
      <c r="P42" s="599"/>
      <c r="Q42" s="599"/>
      <c r="R42" s="599"/>
      <c r="S42" s="599"/>
      <c r="T42" s="599"/>
      <c r="U42" s="599"/>
      <c r="AG42" s="649"/>
      <c r="AH42" s="758">
        <v>8</v>
      </c>
      <c r="AI42" s="759">
        <f>H25</f>
        <v>0</v>
      </c>
      <c r="AJ42" s="760">
        <f>I25</f>
        <v>0</v>
      </c>
      <c r="AK42" s="761">
        <f t="shared" ref="AK42" si="28">IF(AJ42=0,0,ROUNDUP(100/AJ42/100,2))</f>
        <v>0</v>
      </c>
      <c r="AL42" s="758">
        <f t="shared" ref="AL42" si="29">IF(AND(AK42&gt;=1,AK42&lt;=4),1.5,IF(AND(AK42&gt;4,AK42&lt;=6),2,2.5))</f>
        <v>2.5</v>
      </c>
      <c r="AM42" s="760">
        <f>IF(AJ42=100%,100%,AJ42*AL42)</f>
        <v>0</v>
      </c>
      <c r="AN42" s="590" t="s">
        <v>274</v>
      </c>
      <c r="AO42" s="591" t="str">
        <f>IF(AK42=0,"",AI42/AK42)</f>
        <v/>
      </c>
      <c r="AP42" s="591" t="str">
        <f>IF($AK42-AP$20&lt;0,"",($AI42-$AO43)/($AK42-AO$20))</f>
        <v/>
      </c>
      <c r="AQ42" s="591" t="str">
        <f>IF($AK42-AQ$20&lt;0,"",($AI42-SUM($AO43:AP43))/($AK42-AP$20))</f>
        <v/>
      </c>
      <c r="AR42" s="591" t="str">
        <f>IF($AK42-AR$20&lt;0,"",($AI42-SUM($AO43:AQ43))/($AK42-AQ$20))</f>
        <v/>
      </c>
      <c r="AS42" s="591" t="str">
        <f>IF($AK42-AS$20&lt;0,"",($AI42-SUM($AO43:AR43))/($AK42-AR$20))</f>
        <v/>
      </c>
      <c r="AT42" s="591" t="str">
        <f>IF($AK42-AT$20&lt;0,"",($AI42-SUM($AO43:AS43))/($AK42-AS$20))</f>
        <v/>
      </c>
      <c r="AU42" s="591" t="str">
        <f>IF($AK42-AU$20&lt;0,"",($AI42-SUM($AO43:AT43))/($AK42-AT$20))</f>
        <v/>
      </c>
      <c r="AV42" s="591" t="str">
        <f>IF($AK42-AV$20&lt;0,"",($AI42-SUM($AO43:AU43))/($AK42-AU$20))</f>
        <v/>
      </c>
      <c r="AW42" s="591" t="str">
        <f>IF($AK42-AW$20&lt;0,"",($AI42-SUM($AO43:AV43))/($AK42-AV$20))</f>
        <v/>
      </c>
      <c r="AX42" s="591" t="str">
        <f>IF($AK42-AX$20&lt;0,"",($AI42-SUM($AO43:AW43))/($AK42-AW$20))</f>
        <v/>
      </c>
      <c r="AY42" s="591" t="str">
        <f>IF($AK42-AY$20&lt;0,"",($AI42-SUM($AO43:AX43))/($AK42-AX$20))</f>
        <v/>
      </c>
      <c r="AZ42" s="591" t="str">
        <f>IF($AK42-AZ$20&lt;0,"",($AI42-SUM($AO43:AY43))/($AK42-AY$20))</f>
        <v/>
      </c>
      <c r="BA42" s="591" t="str">
        <f>IF($AK42-BA$20&lt;0,"",($AI42-SUM($AO43:AZ43))/($AK42-AZ$20))</f>
        <v/>
      </c>
      <c r="BB42" s="591" t="str">
        <f>IF($AK42-BB$20&lt;0,"",($AI42-SUM($AO43:BA43))/($AK42-BA$20))</f>
        <v/>
      </c>
      <c r="BC42" s="591" t="str">
        <f>IF($AK42-BC$20&lt;0,"",($AI42-SUM($AO43:BB43))/($AK42-BB$20))</f>
        <v/>
      </c>
      <c r="BD42" s="591" t="str">
        <f>IF($AK42-BD$20&lt;0,"",($AI42-SUM($AO43:BC43))/($AK42-BC$20))</f>
        <v/>
      </c>
      <c r="BE42" s="591" t="str">
        <f>IF($AK42-BE$20&lt;0,"",($AI42-SUM($AO43:BD43))/($AK42-BD$20))</f>
        <v/>
      </c>
      <c r="BF42" s="591" t="str">
        <f>IF($AK42-BF$20&lt;0,"",($AI42-SUM($AO43:BE43))/($AK42-BE$20))</f>
        <v/>
      </c>
      <c r="BG42" s="591" t="str">
        <f>IF($AK42-BG$20&lt;0,"",($AI42-SUM($AO43:BF43))/($AK42-BF$20))</f>
        <v/>
      </c>
      <c r="BH42" s="591" t="str">
        <f>IF($AK42-BH$20&lt;0,"",($AI42-SUM($AO43:BG43))/($AK42-BG$20))</f>
        <v/>
      </c>
      <c r="BI42" s="592"/>
      <c r="BJ42" s="606"/>
    </row>
    <row r="43" spans="3:62" ht="15" customHeight="1">
      <c r="J43" s="600"/>
      <c r="K43" s="600"/>
      <c r="L43" s="600"/>
      <c r="M43" s="600"/>
      <c r="N43" s="598"/>
      <c r="O43" s="598"/>
      <c r="P43" s="598"/>
      <c r="Q43" s="598"/>
      <c r="R43" s="598"/>
      <c r="S43" s="598"/>
      <c r="T43" s="598"/>
      <c r="U43" s="598"/>
      <c r="V43" s="598"/>
      <c r="AG43" s="649"/>
      <c r="AH43" s="758"/>
      <c r="AI43" s="759"/>
      <c r="AJ43" s="760"/>
      <c r="AK43" s="761"/>
      <c r="AL43" s="758"/>
      <c r="AM43" s="760"/>
      <c r="AN43" s="590" t="s">
        <v>276</v>
      </c>
      <c r="AO43" s="591">
        <f>IF(AO$20&lt;=$AK42,AI42*AM42,0)</f>
        <v>0</v>
      </c>
      <c r="AP43" s="591">
        <f>IF(AP$20&lt;=$AK42,IF(($AI42-$AO43)*$AM42&lt;AP42,AP42,(AI42-AO43)*AM42),0)</f>
        <v>0</v>
      </c>
      <c r="AQ43" s="591">
        <f>IF(AQ$20&lt;=$AK42,IF(($AI42-SUM($AO43:AP43))*$AM42&lt;AQ42,AQ42,(($AI42-SUM($AO43:AP43))*$AM42)),0)</f>
        <v>0</v>
      </c>
      <c r="AR43" s="591">
        <f>IF(AR$20&lt;=$AK42,IF(($AI42-SUM($AO43:AQ43))*$AM42&lt;AR42,AR42,(($AI42-SUM($AO43:AQ43))*$AM42)),0)</f>
        <v>0</v>
      </c>
      <c r="AS43" s="591">
        <f>IF(AS$20&lt;=$AK42,IF(($AI42-SUM($AO43:AR43))*$AM42&lt;AS42,AS42,(($AI42-SUM($AO43:AR43))*$AM42)),0)</f>
        <v>0</v>
      </c>
      <c r="AT43" s="591">
        <f>IF(AT$20&lt;=$AK42,IF(($AI42-SUM($AO43:AS43))*$AM42&lt;AT42,AT42,(($AI42-SUM($AO43:AS43))*$AM42)),0)</f>
        <v>0</v>
      </c>
      <c r="AU43" s="591">
        <f>IF(AU$20&lt;=$AK42,IF(($AI42-SUM($AO43:AT43))*$AM42&lt;AU42,AU42,(($AI42-SUM($AO43:AT43))*$AM42)),0)</f>
        <v>0</v>
      </c>
      <c r="AV43" s="591">
        <f>IF(AV$20&lt;=$AK42,IF(($AI42-SUM($AO43:AU43))*$AM42&lt;AV42,AV42,(($AI42-SUM($AO43:AU43))*$AM42)),0)</f>
        <v>0</v>
      </c>
      <c r="AW43" s="591">
        <f>IF(AW$20&lt;=$AK42,IF(($AI42-SUM($AO43:AV43))*$AM42&lt;AW42,AW42,(($AI42-SUM($AO43:AV43))*$AM42)),0)</f>
        <v>0</v>
      </c>
      <c r="AX43" s="591">
        <f>IF(AX$20&lt;=$AK42,IF(($AI42-SUM($AO43:AW43))*$AM42&lt;AX42,AX42,(($AI42-SUM($AO43:AW43))*$AM42)),0)</f>
        <v>0</v>
      </c>
      <c r="AY43" s="591">
        <f>IF(AY$20&lt;=$AK42,IF(($AI42-SUM($AO43:AX43))*$AM42&lt;AY42,AY42,(($AI42-SUM($AO43:AX43))*$AM42)),0)</f>
        <v>0</v>
      </c>
      <c r="AZ43" s="591">
        <f>IF(AZ$20&lt;=$AK42,IF(($AI42-SUM($AO43:AY43))*$AM42&lt;AZ42,AZ42,(($AI42-SUM($AO43:AY43))*$AM42)),0)</f>
        <v>0</v>
      </c>
      <c r="BA43" s="591">
        <f>IF(BA$20&lt;=$AK42,IF(($AI42-SUM($AO43:AZ43))*$AM42&lt;BA42,BA42,(($AI42-SUM($AO43:AZ43))*$AM42)),0)</f>
        <v>0</v>
      </c>
      <c r="BB43" s="591">
        <f>IF(BB$20&lt;=$AK42,IF(($AI42-SUM($AO43:BA43))*$AM42&lt;BB42,BB42,(($AI42-SUM($AO43:BA43))*$AM42)),0)</f>
        <v>0</v>
      </c>
      <c r="BC43" s="591">
        <f>IF(BC$20&lt;=$AK42,IF(($AI42-SUM($AO43:BB43))*$AM42&lt;BC42,BC42,(($AI42-SUM($AO43:BB43))*$AM42)),0)</f>
        <v>0</v>
      </c>
      <c r="BD43" s="591">
        <f>IF(BD$20&lt;=$AK42,IF(($AI42-SUM($AO43:BC43))*$AM42&lt;BD42,BD42,(($AI42-SUM($AO43:BC43))*$AM42)),0)</f>
        <v>0</v>
      </c>
      <c r="BE43" s="591">
        <f>IF(BE$20&lt;=$AK42,IF(($AI42-SUM($AO43:BD43))*$AM42&lt;BE42,BE42,(($AI42-SUM($AO43:BD43))*$AM42)),0)</f>
        <v>0</v>
      </c>
      <c r="BF43" s="591">
        <f>IF(BF$20&lt;=$AK42,IF(($AI42-SUM($AO43:BE43))*$AM42&lt;BF42,BF42,(($AI42-SUM($AO43:BE43))*$AM42)),0)</f>
        <v>0</v>
      </c>
      <c r="BG43" s="591">
        <f>IF(BG$20&lt;=$AK42,IF(($AI42-SUM($AO43:BF43))*$AM42&lt;BG42,BG42,(($AI42-SUM($AO43:BF43))*$AM42)),0)</f>
        <v>0</v>
      </c>
      <c r="BH43" s="591">
        <f>IF(BH$20&lt;=$AK42,IF(($AI42-SUM($AO43:BG43))*$AM42&lt;BH42,BH42,(($AI42-SUM($AO43:BG43))*$AM42)),0)</f>
        <v>0</v>
      </c>
      <c r="BI43" s="591">
        <f>SUM(AO43:BH43)</f>
        <v>0</v>
      </c>
      <c r="BJ43" s="606"/>
    </row>
    <row r="44" spans="3:62" ht="15" customHeight="1">
      <c r="J44" s="601"/>
      <c r="K44" s="599"/>
      <c r="L44" s="599"/>
      <c r="M44" s="598"/>
      <c r="N44" s="599"/>
      <c r="O44" s="599"/>
      <c r="P44" s="599"/>
      <c r="Q44" s="599"/>
      <c r="R44" s="599"/>
      <c r="S44" s="599"/>
      <c r="T44" s="599"/>
      <c r="U44" s="599"/>
      <c r="V44" s="599"/>
      <c r="AG44" s="649"/>
      <c r="AH44" s="758"/>
      <c r="AI44" s="759"/>
      <c r="AJ44" s="760"/>
      <c r="AK44" s="761"/>
      <c r="AL44" s="758"/>
      <c r="AM44" s="760"/>
      <c r="AN44" s="590" t="s">
        <v>277</v>
      </c>
      <c r="AO44" s="591">
        <f>AO43/12</f>
        <v>0</v>
      </c>
      <c r="AP44" s="591">
        <f t="shared" ref="AP44:BH44" si="30">AP43/12</f>
        <v>0</v>
      </c>
      <c r="AQ44" s="591">
        <f t="shared" si="30"/>
        <v>0</v>
      </c>
      <c r="AR44" s="591">
        <f t="shared" si="30"/>
        <v>0</v>
      </c>
      <c r="AS44" s="591">
        <f t="shared" si="30"/>
        <v>0</v>
      </c>
      <c r="AT44" s="591">
        <f t="shared" si="30"/>
        <v>0</v>
      </c>
      <c r="AU44" s="591">
        <f t="shared" si="30"/>
        <v>0</v>
      </c>
      <c r="AV44" s="591">
        <f t="shared" si="30"/>
        <v>0</v>
      </c>
      <c r="AW44" s="591">
        <f t="shared" si="30"/>
        <v>0</v>
      </c>
      <c r="AX44" s="591">
        <f t="shared" si="30"/>
        <v>0</v>
      </c>
      <c r="AY44" s="591">
        <f t="shared" si="30"/>
        <v>0</v>
      </c>
      <c r="AZ44" s="591">
        <f t="shared" si="30"/>
        <v>0</v>
      </c>
      <c r="BA44" s="591">
        <f t="shared" si="30"/>
        <v>0</v>
      </c>
      <c r="BB44" s="591">
        <f t="shared" si="30"/>
        <v>0</v>
      </c>
      <c r="BC44" s="591">
        <f t="shared" si="30"/>
        <v>0</v>
      </c>
      <c r="BD44" s="591">
        <f t="shared" si="30"/>
        <v>0</v>
      </c>
      <c r="BE44" s="591">
        <f t="shared" si="30"/>
        <v>0</v>
      </c>
      <c r="BF44" s="591">
        <f t="shared" si="30"/>
        <v>0</v>
      </c>
      <c r="BG44" s="591">
        <f t="shared" si="30"/>
        <v>0</v>
      </c>
      <c r="BH44" s="591">
        <f t="shared" si="30"/>
        <v>0</v>
      </c>
      <c r="BI44" s="594"/>
      <c r="BJ44" s="606"/>
    </row>
    <row r="45" spans="3:62" ht="15" customHeight="1">
      <c r="J45" s="601"/>
      <c r="K45" s="599"/>
      <c r="L45" s="599"/>
      <c r="M45" s="598"/>
      <c r="N45" s="599"/>
      <c r="O45" s="599"/>
      <c r="P45" s="599"/>
      <c r="Q45" s="599"/>
      <c r="R45" s="599"/>
      <c r="S45" s="599"/>
      <c r="T45" s="599"/>
      <c r="U45" s="599"/>
      <c r="V45" s="599"/>
      <c r="AG45" s="649"/>
      <c r="AH45" s="758">
        <v>9</v>
      </c>
      <c r="AI45" s="759">
        <f>H26</f>
        <v>0</v>
      </c>
      <c r="AJ45" s="760">
        <f>I26</f>
        <v>0</v>
      </c>
      <c r="AK45" s="761">
        <f t="shared" ref="AK45" si="31">IF(AJ45=0,0,ROUNDUP(100/AJ45/100,2))</f>
        <v>0</v>
      </c>
      <c r="AL45" s="758">
        <f t="shared" ref="AL45" si="32">IF(AND(AK45&gt;=1,AK45&lt;=4),1.5,IF(AND(AK45&gt;4,AK45&lt;=6),2,2.5))</f>
        <v>2.5</v>
      </c>
      <c r="AM45" s="760">
        <f>IF(AJ45=100%,100%,AJ45*AL45)</f>
        <v>0</v>
      </c>
      <c r="AN45" s="590" t="s">
        <v>274</v>
      </c>
      <c r="AO45" s="591" t="str">
        <f>IF(AK45=0,"",AI45/AK45)</f>
        <v/>
      </c>
      <c r="AP45" s="591" t="str">
        <f>IF($AK45-AP$20&lt;0,"",($AI45-$AO46)/($AK45-AO$20))</f>
        <v/>
      </c>
      <c r="AQ45" s="591" t="str">
        <f>IF($AK45-AQ$20&lt;0,"",($AI45-SUM($AO46:AP46))/($AK45-AP$20))</f>
        <v/>
      </c>
      <c r="AR45" s="591" t="str">
        <f>IF($AK45-AR$20&lt;0,"",($AI45-SUM($AO46:AQ46))/($AK45-AQ$20))</f>
        <v/>
      </c>
      <c r="AS45" s="591" t="str">
        <f>IF($AK45-AS$20&lt;0,"",($AI45-SUM($AO46:AR46))/($AK45-AR$20))</f>
        <v/>
      </c>
      <c r="AT45" s="591" t="str">
        <f>IF($AK45-AT$20&lt;0,"",($AI45-SUM($AO46:AS46))/($AK45-AS$20))</f>
        <v/>
      </c>
      <c r="AU45" s="591" t="str">
        <f>IF($AK45-AU$20&lt;0,"",($AI45-SUM($AO46:AT46))/($AK45-AT$20))</f>
        <v/>
      </c>
      <c r="AV45" s="591" t="str">
        <f>IF($AK45-AV$20&lt;0,"",($AI45-SUM($AO46:AU46))/($AK45-AU$20))</f>
        <v/>
      </c>
      <c r="AW45" s="591" t="str">
        <f>IF($AK45-AW$20&lt;0,"",($AI45-SUM($AO46:AV46))/($AK45-AV$20))</f>
        <v/>
      </c>
      <c r="AX45" s="591" t="str">
        <f>IF($AK45-AX$20&lt;0,"",($AI45-SUM($AO46:AW46))/($AK45-AW$20))</f>
        <v/>
      </c>
      <c r="AY45" s="591" t="str">
        <f>IF($AK45-AY$20&lt;0,"",($AI45-SUM($AO46:AX46))/($AK45-AX$20))</f>
        <v/>
      </c>
      <c r="AZ45" s="591" t="str">
        <f>IF($AK45-AZ$20&lt;0,"",($AI45-SUM($AO46:AY46))/($AK45-AY$20))</f>
        <v/>
      </c>
      <c r="BA45" s="591" t="str">
        <f>IF($AK45-BA$20&lt;0,"",($AI45-SUM($AO46:AZ46))/($AK45-AZ$20))</f>
        <v/>
      </c>
      <c r="BB45" s="591" t="str">
        <f>IF($AK45-BB$20&lt;0,"",($AI45-SUM($AO46:BA46))/($AK45-BA$20))</f>
        <v/>
      </c>
      <c r="BC45" s="591" t="str">
        <f>IF($AK45-BC$20&lt;0,"",($AI45-SUM($AO46:BB46))/($AK45-BB$20))</f>
        <v/>
      </c>
      <c r="BD45" s="591" t="str">
        <f>IF($AK45-BD$20&lt;0,"",($AI45-SUM($AO46:BC46))/($AK45-BC$20))</f>
        <v/>
      </c>
      <c r="BE45" s="591" t="str">
        <f>IF($AK45-BE$20&lt;0,"",($AI45-SUM($AO46:BD46))/($AK45-BD$20))</f>
        <v/>
      </c>
      <c r="BF45" s="591" t="str">
        <f>IF($AK45-BF$20&lt;0,"",($AI45-SUM($AO46:BE46))/($AK45-BE$20))</f>
        <v/>
      </c>
      <c r="BG45" s="591" t="str">
        <f>IF($AK45-BG$20&lt;0,"",($AI45-SUM($AO46:BF46))/($AK45-BF$20))</f>
        <v/>
      </c>
      <c r="BH45" s="591" t="str">
        <f>IF($AK45-BH$20&lt;0,"",($AI45-SUM($AO46:BG46))/($AK45-BG$20))</f>
        <v/>
      </c>
      <c r="BI45" s="592"/>
      <c r="BJ45" s="606"/>
    </row>
    <row r="46" spans="3:62" ht="15" customHeight="1">
      <c r="M46" s="602"/>
      <c r="AG46" s="649"/>
      <c r="AH46" s="758"/>
      <c r="AI46" s="759"/>
      <c r="AJ46" s="760"/>
      <c r="AK46" s="761"/>
      <c r="AL46" s="758"/>
      <c r="AM46" s="760"/>
      <c r="AN46" s="590" t="s">
        <v>276</v>
      </c>
      <c r="AO46" s="591">
        <f>IF(AO$20&lt;=$AK45,AI45*AM45,0)</f>
        <v>0</v>
      </c>
      <c r="AP46" s="591">
        <f>IF(AP$20&lt;=$AK45,IF(($AI45-$AO46)*$AM45&lt;AP45,AP45,(AI45-AO46)*AM45),0)</f>
        <v>0</v>
      </c>
      <c r="AQ46" s="591">
        <f>IF(AQ$20&lt;=$AK45,IF(($AI45-SUM($AO46:AP46))*$AM45&lt;AQ45,AQ45,(($AI45-SUM($AO46:AP46))*$AM45)),0)</f>
        <v>0</v>
      </c>
      <c r="AR46" s="591">
        <f>IF(AR$20&lt;=$AK45,IF(($AI45-SUM($AO46:AQ46))*$AM45&lt;AR45,AR45,(($AI45-SUM($AO46:AQ46))*$AM45)),0)</f>
        <v>0</v>
      </c>
      <c r="AS46" s="591">
        <f>IF(AS$20&lt;=$AK45,IF(($AI45-SUM($AO46:AR46))*$AM45&lt;AS45,AS45,(($AI45-SUM($AO46:AR46))*$AM45)),0)</f>
        <v>0</v>
      </c>
      <c r="AT46" s="591">
        <f>IF(AT$20&lt;=$AK45,IF(($AI45-SUM($AO46:AS46))*$AM45&lt;AT45,AT45,(($AI45-SUM($AO46:AS46))*$AM45)),0)</f>
        <v>0</v>
      </c>
      <c r="AU46" s="591">
        <f>IF(AU$20&lt;=$AK45,IF(($AI45-SUM($AO46:AT46))*$AM45&lt;AU45,AU45,(($AI45-SUM($AO46:AT46))*$AM45)),0)</f>
        <v>0</v>
      </c>
      <c r="AV46" s="591">
        <f>IF(AV$20&lt;=$AK45,IF(($AI45-SUM($AO46:AU46))*$AM45&lt;AV45,AV45,(($AI45-SUM($AO46:AU46))*$AM45)),0)</f>
        <v>0</v>
      </c>
      <c r="AW46" s="591">
        <f>IF(AW$20&lt;=$AK45,IF(($AI45-SUM($AO46:AV46))*$AM45&lt;AW45,AW45,(($AI45-SUM($AO46:AV46))*$AM45)),0)</f>
        <v>0</v>
      </c>
      <c r="AX46" s="591">
        <f>IF(AX$20&lt;=$AK45,IF(($AI45-SUM($AO46:AW46))*$AM45&lt;AX45,AX45,(($AI45-SUM($AO46:AW46))*$AM45)),0)</f>
        <v>0</v>
      </c>
      <c r="AY46" s="591">
        <f>IF(AY$20&lt;=$AK45,IF(($AI45-SUM($AO46:AX46))*$AM45&lt;AY45,AY45,(($AI45-SUM($AO46:AX46))*$AM45)),0)</f>
        <v>0</v>
      </c>
      <c r="AZ46" s="591">
        <f>IF(AZ$20&lt;=$AK45,IF(($AI45-SUM($AO46:AY46))*$AM45&lt;AZ45,AZ45,(($AI45-SUM($AO46:AY46))*$AM45)),0)</f>
        <v>0</v>
      </c>
      <c r="BA46" s="591">
        <f>IF(BA$20&lt;=$AK45,IF(($AI45-SUM($AO46:AZ46))*$AM45&lt;BA45,BA45,(($AI45-SUM($AO46:AZ46))*$AM45)),0)</f>
        <v>0</v>
      </c>
      <c r="BB46" s="591">
        <f>IF(BB$20&lt;=$AK45,IF(($AI45-SUM($AO46:BA46))*$AM45&lt;BB45,BB45,(($AI45-SUM($AO46:BA46))*$AM45)),0)</f>
        <v>0</v>
      </c>
      <c r="BC46" s="591">
        <f>IF(BC$20&lt;=$AK45,IF(($AI45-SUM($AO46:BB46))*$AM45&lt;BC45,BC45,(($AI45-SUM($AO46:BB46))*$AM45)),0)</f>
        <v>0</v>
      </c>
      <c r="BD46" s="591">
        <f>IF(BD$20&lt;=$AK45,IF(($AI45-SUM($AO46:BC46))*$AM45&lt;BD45,BD45,(($AI45-SUM($AO46:BC46))*$AM45)),0)</f>
        <v>0</v>
      </c>
      <c r="BE46" s="591">
        <f>IF(BE$20&lt;=$AK45,IF(($AI45-SUM($AO46:BD46))*$AM45&lt;BE45,BE45,(($AI45-SUM($AO46:BD46))*$AM45)),0)</f>
        <v>0</v>
      </c>
      <c r="BF46" s="591">
        <f>IF(BF$20&lt;=$AK45,IF(($AI45-SUM($AO46:BE46))*$AM45&lt;BF45,BF45,(($AI45-SUM($AO46:BE46))*$AM45)),0)</f>
        <v>0</v>
      </c>
      <c r="BG46" s="591">
        <f>IF(BG$20&lt;=$AK45,IF(($AI45-SUM($AO46:BF46))*$AM45&lt;BG45,BG45,(($AI45-SUM($AO46:BF46))*$AM45)),0)</f>
        <v>0</v>
      </c>
      <c r="BH46" s="591">
        <f>IF(BH$20&lt;=$AK45,IF(($AI45-SUM($AO46:BG46))*$AM45&lt;BH45,BH45,(($AI45-SUM($AO46:BG46))*$AM45)),0)</f>
        <v>0</v>
      </c>
      <c r="BI46" s="591">
        <f>SUM(AO46:BH46)</f>
        <v>0</v>
      </c>
      <c r="BJ46" s="606"/>
    </row>
    <row r="47" spans="3:62" ht="15" customHeight="1">
      <c r="N47" s="602"/>
      <c r="AG47" s="649"/>
      <c r="AH47" s="758"/>
      <c r="AI47" s="759"/>
      <c r="AJ47" s="760"/>
      <c r="AK47" s="761"/>
      <c r="AL47" s="758"/>
      <c r="AM47" s="760"/>
      <c r="AN47" s="590" t="s">
        <v>277</v>
      </c>
      <c r="AO47" s="591">
        <f>AO46/12</f>
        <v>0</v>
      </c>
      <c r="AP47" s="591">
        <f t="shared" ref="AP47:BH47" si="33">AP46/12</f>
        <v>0</v>
      </c>
      <c r="AQ47" s="591">
        <f t="shared" si="33"/>
        <v>0</v>
      </c>
      <c r="AR47" s="591">
        <f t="shared" si="33"/>
        <v>0</v>
      </c>
      <c r="AS47" s="591">
        <f t="shared" si="33"/>
        <v>0</v>
      </c>
      <c r="AT47" s="591">
        <f t="shared" si="33"/>
        <v>0</v>
      </c>
      <c r="AU47" s="591">
        <f t="shared" si="33"/>
        <v>0</v>
      </c>
      <c r="AV47" s="591">
        <f t="shared" si="33"/>
        <v>0</v>
      </c>
      <c r="AW47" s="591">
        <f t="shared" si="33"/>
        <v>0</v>
      </c>
      <c r="AX47" s="591">
        <f t="shared" si="33"/>
        <v>0</v>
      </c>
      <c r="AY47" s="591">
        <f t="shared" si="33"/>
        <v>0</v>
      </c>
      <c r="AZ47" s="591">
        <f t="shared" si="33"/>
        <v>0</v>
      </c>
      <c r="BA47" s="591">
        <f t="shared" si="33"/>
        <v>0</v>
      </c>
      <c r="BB47" s="591">
        <f t="shared" si="33"/>
        <v>0</v>
      </c>
      <c r="BC47" s="591">
        <f t="shared" si="33"/>
        <v>0</v>
      </c>
      <c r="BD47" s="591">
        <f t="shared" si="33"/>
        <v>0</v>
      </c>
      <c r="BE47" s="591">
        <f t="shared" si="33"/>
        <v>0</v>
      </c>
      <c r="BF47" s="591">
        <f t="shared" si="33"/>
        <v>0</v>
      </c>
      <c r="BG47" s="591">
        <f t="shared" si="33"/>
        <v>0</v>
      </c>
      <c r="BH47" s="591">
        <f t="shared" si="33"/>
        <v>0</v>
      </c>
      <c r="BI47" s="594"/>
      <c r="BJ47" s="606"/>
    </row>
    <row r="48" spans="3:62" ht="15" customHeight="1">
      <c r="AG48" s="649"/>
      <c r="AH48" s="758">
        <v>10</v>
      </c>
      <c r="AI48" s="759">
        <f>H27</f>
        <v>0</v>
      </c>
      <c r="AJ48" s="760">
        <f>I27</f>
        <v>0</v>
      </c>
      <c r="AK48" s="761">
        <f t="shared" ref="AK48" si="34">IF(AJ48=0,0,ROUNDUP(100/AJ48/100,2))</f>
        <v>0</v>
      </c>
      <c r="AL48" s="758">
        <f t="shared" ref="AL48" si="35">IF(AND(AK48&gt;=1,AK48&lt;=4),1.5,IF(AND(AK48&gt;4,AK48&lt;=6),2,2.5))</f>
        <v>2.5</v>
      </c>
      <c r="AM48" s="760">
        <f>IF(AJ48=100%,100%,AJ48*AL48)</f>
        <v>0</v>
      </c>
      <c r="AN48" s="590" t="s">
        <v>274</v>
      </c>
      <c r="AO48" s="591" t="str">
        <f>IF(AK48=0,"",AI48/AK48)</f>
        <v/>
      </c>
      <c r="AP48" s="591" t="str">
        <f>IF($AK48-AP$20&lt;0,"",($AI48-$AO49)/($AK48-AO$20))</f>
        <v/>
      </c>
      <c r="AQ48" s="591" t="str">
        <f>IF($AK48-AQ$20&lt;0,"",($AI48-SUM($AO49:AP49))/($AK48-AP$20))</f>
        <v/>
      </c>
      <c r="AR48" s="591" t="str">
        <f>IF($AK48-AR$20&lt;0,"",($AI48-SUM($AO49:AQ49))/($AK48-AQ$20))</f>
        <v/>
      </c>
      <c r="AS48" s="591" t="str">
        <f>IF($AK48-AS$20&lt;0,"",($AI48-SUM($AO49:AR49))/($AK48-AR$20))</f>
        <v/>
      </c>
      <c r="AT48" s="591" t="str">
        <f>IF($AK48-AT$20&lt;0,"",($AI48-SUM($AO49:AS49))/($AK48-AS$20))</f>
        <v/>
      </c>
      <c r="AU48" s="591" t="str">
        <f>IF($AK48-AU$20&lt;0,"",($AI48-SUM($AO49:AT49))/($AK48-AT$20))</f>
        <v/>
      </c>
      <c r="AV48" s="591" t="str">
        <f>IF($AK48-AV$20&lt;0,"",($AI48-SUM($AO49:AU49))/($AK48-AU$20))</f>
        <v/>
      </c>
      <c r="AW48" s="591" t="str">
        <f>IF($AK48-AW$20&lt;0,"",($AI48-SUM($AO49:AV49))/($AK48-AV$20))</f>
        <v/>
      </c>
      <c r="AX48" s="591" t="str">
        <f>IF($AK48-AX$20&lt;0,"",($AI48-SUM($AO49:AW49))/($AK48-AW$20))</f>
        <v/>
      </c>
      <c r="AY48" s="591" t="str">
        <f>IF($AK48-AY$20&lt;0,"",($AI48-SUM($AO49:AX49))/($AK48-AX$20))</f>
        <v/>
      </c>
      <c r="AZ48" s="591" t="str">
        <f>IF($AK48-AZ$20&lt;0,"",($AI48-SUM($AO49:AY49))/($AK48-AY$20))</f>
        <v/>
      </c>
      <c r="BA48" s="591" t="str">
        <f>IF($AK48-BA$20&lt;0,"",($AI48-SUM($AO49:AZ49))/($AK48-AZ$20))</f>
        <v/>
      </c>
      <c r="BB48" s="591" t="str">
        <f>IF($AK48-BB$20&lt;0,"",($AI48-SUM($AO49:BA49))/($AK48-BA$20))</f>
        <v/>
      </c>
      <c r="BC48" s="591" t="str">
        <f>IF($AK48-BC$20&lt;0,"",($AI48-SUM($AO49:BB49))/($AK48-BB$20))</f>
        <v/>
      </c>
      <c r="BD48" s="591" t="str">
        <f>IF($AK48-BD$20&lt;0,"",($AI48-SUM($AO49:BC49))/($AK48-BC$20))</f>
        <v/>
      </c>
      <c r="BE48" s="591" t="str">
        <f>IF($AK48-BE$20&lt;0,"",($AI48-SUM($AO49:BD49))/($AK48-BD$20))</f>
        <v/>
      </c>
      <c r="BF48" s="591" t="str">
        <f>IF($AK48-BF$20&lt;0,"",($AI48-SUM($AO49:BE49))/($AK48-BE$20))</f>
        <v/>
      </c>
      <c r="BG48" s="591" t="str">
        <f>IF($AK48-BG$20&lt;0,"",($AI48-SUM($AO49:BF49))/($AK48-BF$20))</f>
        <v/>
      </c>
      <c r="BH48" s="591" t="str">
        <f>IF($AK48-BH$20&lt;0,"",($AI48-SUM($AO49:BG49))/($AK48-BG$20))</f>
        <v/>
      </c>
      <c r="BI48" s="592"/>
      <c r="BJ48" s="606"/>
    </row>
    <row r="49" spans="5:62" ht="15" customHeight="1">
      <c r="E49" s="603"/>
      <c r="AG49" s="649"/>
      <c r="AH49" s="758"/>
      <c r="AI49" s="759"/>
      <c r="AJ49" s="760"/>
      <c r="AK49" s="761"/>
      <c r="AL49" s="758"/>
      <c r="AM49" s="760"/>
      <c r="AN49" s="590" t="s">
        <v>276</v>
      </c>
      <c r="AO49" s="591">
        <f>IF(AO$20&lt;=$AK48,AI48*AM48,0)</f>
        <v>0</v>
      </c>
      <c r="AP49" s="591">
        <f>IF(AP$20&lt;=$AK48,IF(($AI48-$AO49)*$AM48&lt;AP48,AP48,(AI48-AO49)*AM48),0)</f>
        <v>0</v>
      </c>
      <c r="AQ49" s="591">
        <f>IF(AQ$20&lt;=$AK48,IF(($AI48-SUM($AO49:AP49))*$AM48&lt;AQ48,AQ48,(($AI48-SUM($AO49:AP49))*$AM48)),0)</f>
        <v>0</v>
      </c>
      <c r="AR49" s="591">
        <f>IF(AR$20&lt;=$AK48,IF(($AI48-SUM($AO49:AQ49))*$AM48&lt;AR48,AR48,(($AI48-SUM($AO49:AQ49))*$AM48)),0)</f>
        <v>0</v>
      </c>
      <c r="AS49" s="591">
        <f>IF(AS$20&lt;=$AK48,IF(($AI48-SUM($AO49:AR49))*$AM48&lt;AS48,AS48,(($AI48-SUM($AO49:AR49))*$AM48)),0)</f>
        <v>0</v>
      </c>
      <c r="AT49" s="591">
        <f>IF(AT$20&lt;=$AK48,IF(($AI48-SUM($AO49:AS49))*$AM48&lt;AT48,AT48,(($AI48-SUM($AO49:AS49))*$AM48)),0)</f>
        <v>0</v>
      </c>
      <c r="AU49" s="591">
        <f>IF(AU$20&lt;=$AK48,IF(($AI48-SUM($AO49:AT49))*$AM48&lt;AU48,AU48,(($AI48-SUM($AO49:AT49))*$AM48)),0)</f>
        <v>0</v>
      </c>
      <c r="AV49" s="591">
        <f>IF(AV$20&lt;=$AK48,IF(($AI48-SUM($AO49:AU49))*$AM48&lt;AV48,AV48,(($AI48-SUM($AO49:AU49))*$AM48)),0)</f>
        <v>0</v>
      </c>
      <c r="AW49" s="591">
        <f>IF(AW$20&lt;=$AK48,IF(($AI48-SUM($AO49:AV49))*$AM48&lt;AW48,AW48,(($AI48-SUM($AO49:AV49))*$AM48)),0)</f>
        <v>0</v>
      </c>
      <c r="AX49" s="591">
        <f>IF(AX$20&lt;=$AK48,IF(($AI48-SUM($AO49:AW49))*$AM48&lt;AX48,AX48,(($AI48-SUM($AO49:AW49))*$AM48)),0)</f>
        <v>0</v>
      </c>
      <c r="AY49" s="591">
        <f>IF(AY$20&lt;=$AK48,IF(($AI48-SUM($AO49:AX49))*$AM48&lt;AY48,AY48,(($AI48-SUM($AO49:AX49))*$AM48)),0)</f>
        <v>0</v>
      </c>
      <c r="AZ49" s="591">
        <f>IF(AZ$20&lt;=$AK48,IF(($AI48-SUM($AO49:AY49))*$AM48&lt;AZ48,AZ48,(($AI48-SUM($AO49:AY49))*$AM48)),0)</f>
        <v>0</v>
      </c>
      <c r="BA49" s="591">
        <f>IF(BA$20&lt;=$AK48,IF(($AI48-SUM($AO49:AZ49))*$AM48&lt;BA48,BA48,(($AI48-SUM($AO49:AZ49))*$AM48)),0)</f>
        <v>0</v>
      </c>
      <c r="BB49" s="591">
        <f>IF(BB$20&lt;=$AK48,IF(($AI48-SUM($AO49:BA49))*$AM48&lt;BB48,BB48,(($AI48-SUM($AO49:BA49))*$AM48)),0)</f>
        <v>0</v>
      </c>
      <c r="BC49" s="591">
        <f>IF(BC$20&lt;=$AK48,IF(($AI48-SUM($AO49:BB49))*$AM48&lt;BC48,BC48,(($AI48-SUM($AO49:BB49))*$AM48)),0)</f>
        <v>0</v>
      </c>
      <c r="BD49" s="591">
        <f>IF(BD$20&lt;=$AK48,IF(($AI48-SUM($AO49:BC49))*$AM48&lt;BD48,BD48,(($AI48-SUM($AO49:BC49))*$AM48)),0)</f>
        <v>0</v>
      </c>
      <c r="BE49" s="591">
        <f>IF(BE$20&lt;=$AK48,IF(($AI48-SUM($AO49:BD49))*$AM48&lt;BE48,BE48,(($AI48-SUM($AO49:BD49))*$AM48)),0)</f>
        <v>0</v>
      </c>
      <c r="BF49" s="591">
        <f>IF(BF$20&lt;=$AK48,IF(($AI48-SUM($AO49:BE49))*$AM48&lt;BF48,BF48,(($AI48-SUM($AO49:BE49))*$AM48)),0)</f>
        <v>0</v>
      </c>
      <c r="BG49" s="591">
        <f>IF(BG$20&lt;=$AK48,IF(($AI48-SUM($AO49:BF49))*$AM48&lt;BG48,BG48,(($AI48-SUM($AO49:BF49))*$AM48)),0)</f>
        <v>0</v>
      </c>
      <c r="BH49" s="591">
        <f>IF(BH$20&lt;=$AK48,IF(($AI48-SUM($AO49:BG49))*$AM48&lt;BH48,BH48,(($AI48-SUM($AO49:BG49))*$AM48)),0)</f>
        <v>0</v>
      </c>
      <c r="BI49" s="591">
        <f>SUM(AO49:BH49)</f>
        <v>0</v>
      </c>
      <c r="BJ49" s="606"/>
    </row>
    <row r="50" spans="5:62" ht="15" customHeight="1">
      <c r="E50" s="604"/>
      <c r="AG50" s="649"/>
      <c r="AH50" s="758"/>
      <c r="AI50" s="759"/>
      <c r="AJ50" s="760"/>
      <c r="AK50" s="761"/>
      <c r="AL50" s="758"/>
      <c r="AM50" s="760"/>
      <c r="AN50" s="590" t="s">
        <v>277</v>
      </c>
      <c r="AO50" s="591">
        <f>AO49/12</f>
        <v>0</v>
      </c>
      <c r="AP50" s="591">
        <f t="shared" ref="AP50:BH50" si="36">AP49/12</f>
        <v>0</v>
      </c>
      <c r="AQ50" s="591">
        <f t="shared" si="36"/>
        <v>0</v>
      </c>
      <c r="AR50" s="591">
        <f t="shared" si="36"/>
        <v>0</v>
      </c>
      <c r="AS50" s="591">
        <f t="shared" si="36"/>
        <v>0</v>
      </c>
      <c r="AT50" s="591">
        <f t="shared" si="36"/>
        <v>0</v>
      </c>
      <c r="AU50" s="591">
        <f t="shared" si="36"/>
        <v>0</v>
      </c>
      <c r="AV50" s="591">
        <f t="shared" si="36"/>
        <v>0</v>
      </c>
      <c r="AW50" s="591">
        <f t="shared" si="36"/>
        <v>0</v>
      </c>
      <c r="AX50" s="591">
        <f t="shared" si="36"/>
        <v>0</v>
      </c>
      <c r="AY50" s="591">
        <f t="shared" si="36"/>
        <v>0</v>
      </c>
      <c r="AZ50" s="591">
        <f t="shared" si="36"/>
        <v>0</v>
      </c>
      <c r="BA50" s="591">
        <f t="shared" si="36"/>
        <v>0</v>
      </c>
      <c r="BB50" s="591">
        <f t="shared" si="36"/>
        <v>0</v>
      </c>
      <c r="BC50" s="591">
        <f t="shared" si="36"/>
        <v>0</v>
      </c>
      <c r="BD50" s="591">
        <f t="shared" si="36"/>
        <v>0</v>
      </c>
      <c r="BE50" s="591">
        <f t="shared" si="36"/>
        <v>0</v>
      </c>
      <c r="BF50" s="591">
        <f t="shared" si="36"/>
        <v>0</v>
      </c>
      <c r="BG50" s="591">
        <f t="shared" si="36"/>
        <v>0</v>
      </c>
      <c r="BH50" s="591">
        <f t="shared" si="36"/>
        <v>0</v>
      </c>
      <c r="BI50" s="594"/>
      <c r="BJ50" s="606"/>
    </row>
    <row r="51" spans="5:62" ht="15" customHeight="1">
      <c r="AG51" s="649"/>
      <c r="AH51" s="758">
        <v>11</v>
      </c>
      <c r="AI51" s="759">
        <f>H28</f>
        <v>0</v>
      </c>
      <c r="AJ51" s="760">
        <f>I28</f>
        <v>0</v>
      </c>
      <c r="AK51" s="761">
        <f t="shared" ref="AK51" si="37">IF(AJ51=0,0,ROUNDUP(100/AJ51/100,2))</f>
        <v>0</v>
      </c>
      <c r="AL51" s="758">
        <f>IF(AND(AK51&gt;=1,AK51&lt;=4),1.5,IF(AND(AK51&gt;4,AK51&lt;=6),2,2.5))</f>
        <v>2.5</v>
      </c>
      <c r="AM51" s="760">
        <f>AJ51*AL51</f>
        <v>0</v>
      </c>
      <c r="AN51" s="590" t="s">
        <v>274</v>
      </c>
      <c r="AO51" s="591" t="str">
        <f>IF(AK51=0,"",AI51/AK51)</f>
        <v/>
      </c>
      <c r="AP51" s="591" t="str">
        <f>IF($AK51-AP$20&lt;0,"",($AI51-$AO52)/($AK51-AO$20))</f>
        <v/>
      </c>
      <c r="AQ51" s="591" t="str">
        <f>IF($AK51-AQ$20&lt;0,"",($AI51-SUM($AO52:AP52))/($AK51-AP$20))</f>
        <v/>
      </c>
      <c r="AR51" s="591" t="str">
        <f>IF($AK51-AR$20&lt;0,"",($AI51-SUM($AO52:AQ52))/($AK51-AQ$20))</f>
        <v/>
      </c>
      <c r="AS51" s="591" t="str">
        <f>IF($AK51-AS$20&lt;0,"",($AI51-SUM($AO52:AR52))/($AK51-AR$20))</f>
        <v/>
      </c>
      <c r="AT51" s="591" t="str">
        <f>IF($AK51-AT$20&lt;0,"",($AI51-SUM($AO52:AS52))/($AK51-AS$20))</f>
        <v/>
      </c>
      <c r="AU51" s="591" t="str">
        <f>IF($AK51-AU$20&lt;0,"",($AI51-SUM($AO52:AT52))/($AK51-AT$20))</f>
        <v/>
      </c>
      <c r="AV51" s="591" t="str">
        <f>IF($AK51-AV$20&lt;0,"",($AI51-SUM($AO52:AU52))/($AK51-AU$20))</f>
        <v/>
      </c>
      <c r="AW51" s="591" t="str">
        <f>IF($AK51-AW$20&lt;0,"",($AI51-SUM($AO52:AV52))/($AK51-AV$20))</f>
        <v/>
      </c>
      <c r="AX51" s="591" t="str">
        <f>IF($AK51-AX$20&lt;0,"",($AI51-SUM($AO52:AW52))/($AK51-AW$20))</f>
        <v/>
      </c>
      <c r="AY51" s="591" t="str">
        <f>IF($AK51-AY$20&lt;0,"",($AI51-SUM($AO52:AX52))/($AK51-AX$20))</f>
        <v/>
      </c>
      <c r="AZ51" s="591" t="str">
        <f>IF($AK51-AZ$20&lt;0,"",($AI51-SUM($AO52:AY52))/($AK51-AY$20))</f>
        <v/>
      </c>
      <c r="BA51" s="591" t="str">
        <f>IF($AK51-BA$20&lt;0,"",($AI51-SUM($AO52:AZ52))/($AK51-AZ$20))</f>
        <v/>
      </c>
      <c r="BB51" s="591" t="str">
        <f>IF($AK51-BB$20&lt;0,"",($AI51-SUM($AO52:BA52))/($AK51-BA$20))</f>
        <v/>
      </c>
      <c r="BC51" s="591" t="str">
        <f>IF($AK51-BC$20&lt;0,"",($AI51-SUM($AO52:BB52))/($AK51-BB$20))</f>
        <v/>
      </c>
      <c r="BD51" s="591" t="str">
        <f>IF($AK51-BD$20&lt;0,"",($AI51-SUM($AO52:BC52))/($AK51-BC$20))</f>
        <v/>
      </c>
      <c r="BE51" s="591" t="str">
        <f>IF($AK51-BE$20&lt;0,"",($AI51-SUM($AO52:BD52))/($AK51-BD$20))</f>
        <v/>
      </c>
      <c r="BF51" s="591" t="str">
        <f>IF($AK51-BF$20&lt;0,"",($AI51-SUM($AO52:BE52))/($AK51-BE$20))</f>
        <v/>
      </c>
      <c r="BG51" s="591" t="str">
        <f>IF($AK51-BG$20&lt;0,"",($AI51-SUM($AO52:BF52))/($AK51-BF$20))</f>
        <v/>
      </c>
      <c r="BH51" s="591" t="str">
        <f>IF($AK51-BH$20&lt;0,"",($AI51-SUM($AO52:BG52))/($AK51-BG$20))</f>
        <v/>
      </c>
      <c r="BI51" s="592"/>
      <c r="BJ51" s="606"/>
    </row>
    <row r="52" spans="5:62" ht="15" customHeight="1">
      <c r="AG52" s="649"/>
      <c r="AH52" s="758"/>
      <c r="AI52" s="759"/>
      <c r="AJ52" s="760"/>
      <c r="AK52" s="761"/>
      <c r="AL52" s="758"/>
      <c r="AM52" s="760"/>
      <c r="AN52" s="590" t="s">
        <v>276</v>
      </c>
      <c r="AO52" s="591">
        <f>IF(AO$20&lt;=$AK51,AI51*AM51,0)</f>
        <v>0</v>
      </c>
      <c r="AP52" s="591">
        <f>IF(AP$20&lt;=$AK51,IF(($AI51-$AO52)*$AM51&lt;AP51,AP51,(AI51-AO52)*AM51),0)</f>
        <v>0</v>
      </c>
      <c r="AQ52" s="591">
        <f>IF(AQ$20&lt;=$AK51,IF(($AI51-SUM($AO52:AP52))*$AM51&lt;AQ51,AQ51,(($AI51-SUM($AO52:AP52))*$AM51)),0)</f>
        <v>0</v>
      </c>
      <c r="AR52" s="591">
        <f>IF(AR$20&lt;=$AK51,IF(($AI51-SUM($AO52:AQ52))*$AM51&lt;AR51,AR51,(($AI51-SUM($AO52:AQ52))*$AM51)),0)</f>
        <v>0</v>
      </c>
      <c r="AS52" s="591">
        <f>IF(AS$20&lt;=$AK51,IF(($AI51-SUM($AO52:AR52))*$AM51&lt;AS51,AS51,(($AI51-SUM($AO52:AR52))*$AM51)),0)</f>
        <v>0</v>
      </c>
      <c r="AT52" s="591">
        <f>IF(AT$20&lt;=$AK51,IF(($AI51-SUM($AO52:AS52))*$AM51&lt;AT51,AT51,(($AI51-SUM($AO52:AS52))*$AM51)),0)</f>
        <v>0</v>
      </c>
      <c r="AU52" s="591">
        <f>IF(AU$20&lt;=$AK51,IF(($AI51-SUM($AO52:AT52))*$AM51&lt;AU51,AU51,(($AI51-SUM($AO52:AT52))*$AM51)),0)</f>
        <v>0</v>
      </c>
      <c r="AV52" s="591">
        <f>IF(AV$20&lt;=$AK51,IF(($AI51-SUM($AO52:AU52))*$AM51&lt;AV51,AV51,(($AI51-SUM($AO52:AU52))*$AM51)),0)</f>
        <v>0</v>
      </c>
      <c r="AW52" s="591">
        <f>IF(AW$20&lt;=$AK51,IF(($AI51-SUM($AO52:AV52))*$AM51&lt;AW51,AW51,(($AI51-SUM($AO52:AV52))*$AM51)),0)</f>
        <v>0</v>
      </c>
      <c r="AX52" s="591">
        <f>IF(AX$20&lt;=$AK51,IF(($AI51-SUM($AO52:AW52))*$AM51&lt;AX51,AX51,(($AI51-SUM($AO52:AW52))*$AM51)),0)</f>
        <v>0</v>
      </c>
      <c r="AY52" s="591">
        <f>IF(AY$20&lt;=$AK51,IF(($AI51-SUM($AO52:AX52))*$AM51&lt;AY51,AY51,(($AI51-SUM($AO52:AX52))*$AM51)),0)</f>
        <v>0</v>
      </c>
      <c r="AZ52" s="591">
        <f>IF(AZ$20&lt;=$AK51,IF(($AI51-SUM($AO52:AY52))*$AM51&lt;AZ51,AZ51,(($AI51-SUM($AO52:AY52))*$AM51)),0)</f>
        <v>0</v>
      </c>
      <c r="BA52" s="591">
        <f>IF(BA$20&lt;=$AK51,IF(($AI51-SUM($AO52:AZ52))*$AM51&lt;BA51,BA51,(($AI51-SUM($AO52:AZ52))*$AM51)),0)</f>
        <v>0</v>
      </c>
      <c r="BB52" s="591">
        <f>IF(BB$20&lt;=$AK51,IF(($AI51-SUM($AO52:BA52))*$AM51&lt;BB51,BB51,(($AI51-SUM($AO52:BA52))*$AM51)),0)</f>
        <v>0</v>
      </c>
      <c r="BC52" s="591">
        <f>IF(BC$20&lt;=$AK51,IF(($AI51-SUM($AO52:BB52))*$AM51&lt;BC51,BC51,(($AI51-SUM($AO52:BB52))*$AM51)),0)</f>
        <v>0</v>
      </c>
      <c r="BD52" s="591">
        <f>IF(BD$20&lt;=$AK51,IF(($AI51-SUM($AO52:BC52))*$AM51&lt;BD51,BD51,(($AI51-SUM($AO52:BC52))*$AM51)),0)</f>
        <v>0</v>
      </c>
      <c r="BE52" s="591">
        <f>IF(BE$20&lt;=$AK51,IF(($AI51-SUM($AO52:BD52))*$AM51&lt;BE51,BE51,(($AI51-SUM($AO52:BD52))*$AM51)),0)</f>
        <v>0</v>
      </c>
      <c r="BF52" s="591">
        <f>IF(BF$20&lt;=$AK51,IF(($AI51-SUM($AO52:BE52))*$AM51&lt;BF51,BF51,(($AI51-SUM($AO52:BE52))*$AM51)),0)</f>
        <v>0</v>
      </c>
      <c r="BG52" s="591">
        <f>IF(BG$20&lt;=$AK51,IF(($AI51-SUM($AO52:BF52))*$AM51&lt;BG51,BG51,(($AI51-SUM($AO52:BF52))*$AM51)),0)</f>
        <v>0</v>
      </c>
      <c r="BH52" s="591">
        <f>IF(BH$20&lt;=$AK51,IF(($AI51-SUM($AO52:BG52))*$AM51&lt;BH51,BH51,(($AI51-SUM($AO52:BG52))*$AM51)),0)</f>
        <v>0</v>
      </c>
      <c r="BI52" s="591">
        <f>SUM(AO52:BH52)</f>
        <v>0</v>
      </c>
      <c r="BJ52" s="606"/>
    </row>
    <row r="53" spans="5:62" ht="15" customHeight="1">
      <c r="AG53" s="649"/>
      <c r="AH53" s="758"/>
      <c r="AI53" s="759"/>
      <c r="AJ53" s="760"/>
      <c r="AK53" s="761"/>
      <c r="AL53" s="758"/>
      <c r="AM53" s="760"/>
      <c r="AN53" s="590" t="s">
        <v>277</v>
      </c>
      <c r="AO53" s="591">
        <f>AO52/12</f>
        <v>0</v>
      </c>
      <c r="AP53" s="591">
        <f t="shared" ref="AP53:BH53" si="38">AP52/12</f>
        <v>0</v>
      </c>
      <c r="AQ53" s="591">
        <f t="shared" si="38"/>
        <v>0</v>
      </c>
      <c r="AR53" s="591">
        <f t="shared" si="38"/>
        <v>0</v>
      </c>
      <c r="AS53" s="591">
        <f t="shared" si="38"/>
        <v>0</v>
      </c>
      <c r="AT53" s="591">
        <f t="shared" si="38"/>
        <v>0</v>
      </c>
      <c r="AU53" s="591">
        <f t="shared" si="38"/>
        <v>0</v>
      </c>
      <c r="AV53" s="591">
        <f t="shared" si="38"/>
        <v>0</v>
      </c>
      <c r="AW53" s="591">
        <f t="shared" si="38"/>
        <v>0</v>
      </c>
      <c r="AX53" s="591">
        <f t="shared" si="38"/>
        <v>0</v>
      </c>
      <c r="AY53" s="591">
        <f t="shared" si="38"/>
        <v>0</v>
      </c>
      <c r="AZ53" s="591">
        <f t="shared" si="38"/>
        <v>0</v>
      </c>
      <c r="BA53" s="591">
        <f t="shared" si="38"/>
        <v>0</v>
      </c>
      <c r="BB53" s="591">
        <f t="shared" si="38"/>
        <v>0</v>
      </c>
      <c r="BC53" s="591">
        <f t="shared" si="38"/>
        <v>0</v>
      </c>
      <c r="BD53" s="591">
        <f t="shared" si="38"/>
        <v>0</v>
      </c>
      <c r="BE53" s="591">
        <f t="shared" si="38"/>
        <v>0</v>
      </c>
      <c r="BF53" s="591">
        <f t="shared" si="38"/>
        <v>0</v>
      </c>
      <c r="BG53" s="591">
        <f t="shared" si="38"/>
        <v>0</v>
      </c>
      <c r="BH53" s="591">
        <f t="shared" si="38"/>
        <v>0</v>
      </c>
      <c r="BI53" s="594"/>
      <c r="BJ53" s="606"/>
    </row>
    <row r="54" spans="5:62" ht="15" customHeight="1">
      <c r="AG54" s="649"/>
      <c r="AH54" s="758">
        <v>12</v>
      </c>
      <c r="AI54" s="759">
        <f>H29</f>
        <v>0</v>
      </c>
      <c r="AJ54" s="760">
        <f>I29</f>
        <v>0</v>
      </c>
      <c r="AK54" s="761">
        <f t="shared" ref="AK54" si="39">IF(AJ54=0,0,ROUNDUP(100/AJ54/100,2))</f>
        <v>0</v>
      </c>
      <c r="AL54" s="758">
        <f t="shared" ref="AL54" si="40">IF(AND(AK54&gt;=1,AK54&lt;=4),1.5,IF(AND(AK54&gt;4,AK54&lt;=6),2,2.5))</f>
        <v>2.5</v>
      </c>
      <c r="AM54" s="760">
        <f>AJ54*AL54</f>
        <v>0</v>
      </c>
      <c r="AN54" s="590" t="s">
        <v>274</v>
      </c>
      <c r="AO54" s="591" t="str">
        <f>IF(AK54=0,"",AI54/AK54)</f>
        <v/>
      </c>
      <c r="AP54" s="591" t="str">
        <f>IF($AK54-AP$20&lt;0,"",($AI54-$AO55)/($AK54-AO$20))</f>
        <v/>
      </c>
      <c r="AQ54" s="591" t="str">
        <f>IF($AK54-AQ$20&lt;0,"",($AI54-SUM($AO55:AP55))/($AK54-AP$20))</f>
        <v/>
      </c>
      <c r="AR54" s="591" t="str">
        <f>IF($AK54-AR$20&lt;0,"",($AI54-SUM($AO55:AQ55))/($AK54-AQ$20))</f>
        <v/>
      </c>
      <c r="AS54" s="591" t="str">
        <f>IF($AK54-AS$20&lt;0,"",($AI54-SUM($AO55:AR55))/($AK54-AR$20))</f>
        <v/>
      </c>
      <c r="AT54" s="591" t="str">
        <f>IF($AK54-AT$20&lt;0,"",($AI54-SUM($AO55:AS55))/($AK54-AS$20))</f>
        <v/>
      </c>
      <c r="AU54" s="591" t="str">
        <f>IF($AK54-AU$20&lt;0,"",($AI54-SUM($AO55:AT55))/($AK54-AT$20))</f>
        <v/>
      </c>
      <c r="AV54" s="591" t="str">
        <f>IF($AK54-AV$20&lt;0,"",($AI54-SUM($AO55:AU55))/($AK54-AU$20))</f>
        <v/>
      </c>
      <c r="AW54" s="591" t="str">
        <f>IF($AK54-AW$20&lt;0,"",($AI54-SUM($AO55:AV55))/($AK54-AV$20))</f>
        <v/>
      </c>
      <c r="AX54" s="591" t="str">
        <f>IF($AK54-AX$20&lt;0,"",($AI54-SUM($AO55:AW55))/($AK54-AW$20))</f>
        <v/>
      </c>
      <c r="AY54" s="591" t="str">
        <f>IF($AK54-AY$20&lt;0,"",($AI54-SUM($AO55:AX55))/($AK54-AX$20))</f>
        <v/>
      </c>
      <c r="AZ54" s="591" t="str">
        <f>IF($AK54-AZ$20&lt;0,"",($AI54-SUM($AO55:AY55))/($AK54-AY$20))</f>
        <v/>
      </c>
      <c r="BA54" s="591" t="str">
        <f>IF($AK54-BA$20&lt;0,"",($AI54-SUM($AO55:AZ55))/($AK54-AZ$20))</f>
        <v/>
      </c>
      <c r="BB54" s="591" t="str">
        <f>IF($AK54-BB$20&lt;0,"",($AI54-SUM($AO55:BA55))/($AK54-BA$20))</f>
        <v/>
      </c>
      <c r="BC54" s="591" t="str">
        <f>IF($AK54-BC$20&lt;0,"",($AI54-SUM($AO55:BB55))/($AK54-BB$20))</f>
        <v/>
      </c>
      <c r="BD54" s="591" t="str">
        <f>IF($AK54-BD$20&lt;0,"",($AI54-SUM($AO55:BC55))/($AK54-BC$20))</f>
        <v/>
      </c>
      <c r="BE54" s="591" t="str">
        <f>IF($AK54-BE$20&lt;0,"",($AI54-SUM($AO55:BD55))/($AK54-BD$20))</f>
        <v/>
      </c>
      <c r="BF54" s="591" t="str">
        <f>IF($AK54-BF$20&lt;0,"",($AI54-SUM($AO55:BE55))/($AK54-BE$20))</f>
        <v/>
      </c>
      <c r="BG54" s="591" t="str">
        <f>IF($AK54-BG$20&lt;0,"",($AI54-SUM($AO55:BF55))/($AK54-BF$20))</f>
        <v/>
      </c>
      <c r="BH54" s="591" t="str">
        <f>IF($AK54-BH$20&lt;0,"",($AI54-SUM($AO55:BG55))/($AK54-BG$20))</f>
        <v/>
      </c>
      <c r="BI54" s="592"/>
      <c r="BJ54" s="606"/>
    </row>
    <row r="55" spans="5:62" ht="15" customHeight="1">
      <c r="AG55" s="649"/>
      <c r="AH55" s="758"/>
      <c r="AI55" s="759"/>
      <c r="AJ55" s="760"/>
      <c r="AK55" s="761"/>
      <c r="AL55" s="758"/>
      <c r="AM55" s="760"/>
      <c r="AN55" s="590" t="s">
        <v>276</v>
      </c>
      <c r="AO55" s="591">
        <f>IF(AO$20&lt;=$AK54,AI54*AM54,0)</f>
        <v>0</v>
      </c>
      <c r="AP55" s="591">
        <f>IF(AP$20&lt;=$AK54,IF(($AI54-$AO55)*$AM54&lt;AP54,AP54,(AI54-AO55)*AM54),0)</f>
        <v>0</v>
      </c>
      <c r="AQ55" s="591">
        <f>IF(AQ$20&lt;=$AK54,IF(($AI54-SUM($AO55:AP55))*$AM54&lt;AQ54,AQ54,(($AI54-SUM($AO55:AP55))*$AM54)),0)</f>
        <v>0</v>
      </c>
      <c r="AR55" s="591">
        <f>IF(AR$20&lt;=$AK54,IF(($AI54-SUM($AO55:AQ55))*$AM54&lt;AR54,AR54,(($AI54-SUM($AO55:AQ55))*$AM54)),0)</f>
        <v>0</v>
      </c>
      <c r="AS55" s="591">
        <f>IF(AS$20&lt;=$AK54,IF(($AI54-SUM($AO55:AR55))*$AM54&lt;AS54,AS54,(($AI54-SUM($AO55:AR55))*$AM54)),0)</f>
        <v>0</v>
      </c>
      <c r="AT55" s="591">
        <f>IF(AT$20&lt;=$AK54,IF(($AI54-SUM($AO55:AS55))*$AM54&lt;AT54,AT54,(($AI54-SUM($AO55:AS55))*$AM54)),0)</f>
        <v>0</v>
      </c>
      <c r="AU55" s="591">
        <f>IF(AU$20&lt;=$AK54,IF(($AI54-SUM($AO55:AT55))*$AM54&lt;AU54,AU54,(($AI54-SUM($AO55:AT55))*$AM54)),0)</f>
        <v>0</v>
      </c>
      <c r="AV55" s="591">
        <f>IF(AV$20&lt;=$AK54,IF(($AI54-SUM($AO55:AU55))*$AM54&lt;AV54,AV54,(($AI54-SUM($AO55:AU55))*$AM54)),0)</f>
        <v>0</v>
      </c>
      <c r="AW55" s="591">
        <f>IF(AW$20&lt;=$AK54,IF(($AI54-SUM($AO55:AV55))*$AM54&lt;AW54,AW54,(($AI54-SUM($AO55:AV55))*$AM54)),0)</f>
        <v>0</v>
      </c>
      <c r="AX55" s="591">
        <f>IF(AX$20&lt;=$AK54,IF(($AI54-SUM($AO55:AW55))*$AM54&lt;AX54,AX54,(($AI54-SUM($AO55:AW55))*$AM54)),0)</f>
        <v>0</v>
      </c>
      <c r="AY55" s="591">
        <f>IF(AY$20&lt;=$AK54,IF(($AI54-SUM($AO55:AX55))*$AM54&lt;AY54,AY54,(($AI54-SUM($AO55:AX55))*$AM54)),0)</f>
        <v>0</v>
      </c>
      <c r="AZ55" s="591">
        <f>IF(AZ$20&lt;=$AK54,IF(($AI54-SUM($AO55:AY55))*$AM54&lt;AZ54,AZ54,(($AI54-SUM($AO55:AY55))*$AM54)),0)</f>
        <v>0</v>
      </c>
      <c r="BA55" s="591">
        <f>IF(BA$20&lt;=$AK54,IF(($AI54-SUM($AO55:AZ55))*$AM54&lt;BA54,BA54,(($AI54-SUM($AO55:AZ55))*$AM54)),0)</f>
        <v>0</v>
      </c>
      <c r="BB55" s="591">
        <f>IF(BB$20&lt;=$AK54,IF(($AI54-SUM($AO55:BA55))*$AM54&lt;BB54,BB54,(($AI54-SUM($AO55:BA55))*$AM54)),0)</f>
        <v>0</v>
      </c>
      <c r="BC55" s="591">
        <f>IF(BC$20&lt;=$AK54,IF(($AI54-SUM($AO55:BB55))*$AM54&lt;BC54,BC54,(($AI54-SUM($AO55:BB55))*$AM54)),0)</f>
        <v>0</v>
      </c>
      <c r="BD55" s="591">
        <f>IF(BD$20&lt;=$AK54,IF(($AI54-SUM($AO55:BC55))*$AM54&lt;BD54,BD54,(($AI54-SUM($AO55:BC55))*$AM54)),0)</f>
        <v>0</v>
      </c>
      <c r="BE55" s="591">
        <f>IF(BE$20&lt;=$AK54,IF(($AI54-SUM($AO55:BD55))*$AM54&lt;BE54,BE54,(($AI54-SUM($AO55:BD55))*$AM54)),0)</f>
        <v>0</v>
      </c>
      <c r="BF55" s="591">
        <f>IF(BF$20&lt;=$AK54,IF(($AI54-SUM($AO55:BE55))*$AM54&lt;BF54,BF54,(($AI54-SUM($AO55:BE55))*$AM54)),0)</f>
        <v>0</v>
      </c>
      <c r="BG55" s="591">
        <f>IF(BG$20&lt;=$AK54,IF(($AI54-SUM($AO55:BF55))*$AM54&lt;BG54,BG54,(($AI54-SUM($AO55:BF55))*$AM54)),0)</f>
        <v>0</v>
      </c>
      <c r="BH55" s="591">
        <f>IF(BH$20&lt;=$AK54,IF(($AI54-SUM($AO55:BG55))*$AM54&lt;BH54,BH54,(($AI54-SUM($AO55:BG55))*$AM54)),0)</f>
        <v>0</v>
      </c>
      <c r="BI55" s="591">
        <f>SUM(AO55:BH55)</f>
        <v>0</v>
      </c>
      <c r="BJ55" s="606"/>
    </row>
    <row r="56" spans="5:62" ht="15" customHeight="1">
      <c r="AG56" s="649"/>
      <c r="AH56" s="758"/>
      <c r="AI56" s="759"/>
      <c r="AJ56" s="760"/>
      <c r="AK56" s="761"/>
      <c r="AL56" s="758"/>
      <c r="AM56" s="760"/>
      <c r="AN56" s="590" t="s">
        <v>277</v>
      </c>
      <c r="AO56" s="591">
        <f>AO55/12</f>
        <v>0</v>
      </c>
      <c r="AP56" s="591">
        <f t="shared" ref="AP56:BH56" si="41">AP55/12</f>
        <v>0</v>
      </c>
      <c r="AQ56" s="591">
        <f t="shared" si="41"/>
        <v>0</v>
      </c>
      <c r="AR56" s="591">
        <f t="shared" si="41"/>
        <v>0</v>
      </c>
      <c r="AS56" s="591">
        <f t="shared" si="41"/>
        <v>0</v>
      </c>
      <c r="AT56" s="591">
        <f t="shared" si="41"/>
        <v>0</v>
      </c>
      <c r="AU56" s="591">
        <f t="shared" si="41"/>
        <v>0</v>
      </c>
      <c r="AV56" s="591">
        <f t="shared" si="41"/>
        <v>0</v>
      </c>
      <c r="AW56" s="591">
        <f t="shared" si="41"/>
        <v>0</v>
      </c>
      <c r="AX56" s="591">
        <f t="shared" si="41"/>
        <v>0</v>
      </c>
      <c r="AY56" s="591">
        <f t="shared" si="41"/>
        <v>0</v>
      </c>
      <c r="AZ56" s="591">
        <f t="shared" si="41"/>
        <v>0</v>
      </c>
      <c r="BA56" s="591">
        <f t="shared" si="41"/>
        <v>0</v>
      </c>
      <c r="BB56" s="591">
        <f t="shared" si="41"/>
        <v>0</v>
      </c>
      <c r="BC56" s="591">
        <f t="shared" si="41"/>
        <v>0</v>
      </c>
      <c r="BD56" s="591">
        <f t="shared" si="41"/>
        <v>0</v>
      </c>
      <c r="BE56" s="591">
        <f t="shared" si="41"/>
        <v>0</v>
      </c>
      <c r="BF56" s="591">
        <f t="shared" si="41"/>
        <v>0</v>
      </c>
      <c r="BG56" s="591">
        <f t="shared" si="41"/>
        <v>0</v>
      </c>
      <c r="BH56" s="591">
        <f t="shared" si="41"/>
        <v>0</v>
      </c>
      <c r="BI56" s="594"/>
      <c r="BJ56" s="606"/>
    </row>
    <row r="57" spans="5:62" ht="15" customHeight="1">
      <c r="AG57" s="649"/>
      <c r="AH57" s="758">
        <v>13</v>
      </c>
      <c r="AI57" s="759">
        <f>H30</f>
        <v>0</v>
      </c>
      <c r="AJ57" s="760">
        <f>I30</f>
        <v>0</v>
      </c>
      <c r="AK57" s="761">
        <f t="shared" ref="AK57" si="42">IF(AJ57=0,0,ROUNDUP(100/AJ57/100,2))</f>
        <v>0</v>
      </c>
      <c r="AL57" s="758">
        <f t="shared" ref="AL57" si="43">IF(AND(AK57&gt;=1,AK57&lt;=4),1.5,IF(AND(AK57&gt;4,AK57&lt;=6),2,2.5))</f>
        <v>2.5</v>
      </c>
      <c r="AM57" s="760">
        <f>AJ57*AL57</f>
        <v>0</v>
      </c>
      <c r="AN57" s="590" t="s">
        <v>274</v>
      </c>
      <c r="AO57" s="591" t="str">
        <f>IF(AK57=0,"",AI57/AK57)</f>
        <v/>
      </c>
      <c r="AP57" s="591" t="str">
        <f>IF($AK57-AP$20&lt;0,"",($AI57-$AO58)/($AK57-AO$20))</f>
        <v/>
      </c>
      <c r="AQ57" s="591" t="str">
        <f>IF($AK57-AQ$20&lt;0,"",($AI57-SUM($AO58:AP58))/($AK57-AP$20))</f>
        <v/>
      </c>
      <c r="AR57" s="591" t="str">
        <f>IF($AK57-AR$20&lt;0,"",($AI57-SUM($AO58:AQ58))/($AK57-AQ$20))</f>
        <v/>
      </c>
      <c r="AS57" s="591" t="str">
        <f>IF($AK57-AS$20&lt;0,"",($AI57-SUM($AO58:AR58))/($AK57-AR$20))</f>
        <v/>
      </c>
      <c r="AT57" s="591" t="str">
        <f>IF($AK57-AT$20&lt;0,"",($AI57-SUM($AO58:AS58))/($AK57-AS$20))</f>
        <v/>
      </c>
      <c r="AU57" s="591" t="str">
        <f>IF($AK57-AU$20&lt;0,"",($AI57-SUM($AO58:AT58))/($AK57-AT$20))</f>
        <v/>
      </c>
      <c r="AV57" s="591" t="str">
        <f>IF($AK57-AV$20&lt;0,"",($AI57-SUM($AO58:AU58))/($AK57-AU$20))</f>
        <v/>
      </c>
      <c r="AW57" s="591" t="str">
        <f>IF($AK57-AW$20&lt;0,"",($AI57-SUM($AO58:AV58))/($AK57-AV$20))</f>
        <v/>
      </c>
      <c r="AX57" s="591" t="str">
        <f>IF($AK57-AX$20&lt;0,"",($AI57-SUM($AO58:AW58))/($AK57-AW$20))</f>
        <v/>
      </c>
      <c r="AY57" s="591" t="str">
        <f>IF($AK57-AY$20&lt;0,"",($AI57-SUM($AO58:AX58))/($AK57-AX$20))</f>
        <v/>
      </c>
      <c r="AZ57" s="591" t="str">
        <f>IF($AK57-AZ$20&lt;0,"",($AI57-SUM($AO58:AY58))/($AK57-AY$20))</f>
        <v/>
      </c>
      <c r="BA57" s="591" t="str">
        <f>IF($AK57-BA$20&lt;0,"",($AI57-SUM($AO58:AZ58))/($AK57-AZ$20))</f>
        <v/>
      </c>
      <c r="BB57" s="591" t="str">
        <f>IF($AK57-BB$20&lt;0,"",($AI57-SUM($AO58:BA58))/($AK57-BA$20))</f>
        <v/>
      </c>
      <c r="BC57" s="591" t="str">
        <f>IF($AK57-BC$20&lt;0,"",($AI57-SUM($AO58:BB58))/($AK57-BB$20))</f>
        <v/>
      </c>
      <c r="BD57" s="591" t="str">
        <f>IF($AK57-BD$20&lt;0,"",($AI57-SUM($AO58:BC58))/($AK57-BC$20))</f>
        <v/>
      </c>
      <c r="BE57" s="591" t="str">
        <f>IF($AK57-BE$20&lt;0,"",($AI57-SUM($AO58:BD58))/($AK57-BD$20))</f>
        <v/>
      </c>
      <c r="BF57" s="591" t="str">
        <f>IF($AK57-BF$20&lt;0,"",($AI57-SUM($AO58:BE58))/($AK57-BE$20))</f>
        <v/>
      </c>
      <c r="BG57" s="591" t="str">
        <f>IF($AK57-BG$20&lt;0,"",($AI57-SUM($AO58:BF58))/($AK57-BF$20))</f>
        <v/>
      </c>
      <c r="BH57" s="591" t="str">
        <f>IF($AK57-BH$20&lt;0,"",($AI57-SUM($AO58:BG58))/($AK57-BG$20))</f>
        <v/>
      </c>
      <c r="BI57" s="592"/>
      <c r="BJ57" s="606"/>
    </row>
    <row r="58" spans="5:62" ht="15" customHeight="1">
      <c r="AG58" s="649"/>
      <c r="AH58" s="758"/>
      <c r="AI58" s="759"/>
      <c r="AJ58" s="760"/>
      <c r="AK58" s="761"/>
      <c r="AL58" s="758"/>
      <c r="AM58" s="760"/>
      <c r="AN58" s="590" t="s">
        <v>276</v>
      </c>
      <c r="AO58" s="591">
        <f>IF(AO$20&lt;=$AK57,AI57*AM57,0)</f>
        <v>0</v>
      </c>
      <c r="AP58" s="591">
        <f>IF(AP$20&lt;=$AK57,IF(($AI57-$AO58)*$AM57&lt;AP57,AP57,(AI57-AO58)*AM57),0)</f>
        <v>0</v>
      </c>
      <c r="AQ58" s="591">
        <f>IF(AQ$20&lt;=$AK57,IF(($AI57-SUM($AO58:AP58))*$AM57&lt;AQ57,AQ57,(($AI57-SUM($AO58:AP58))*$AM57)),0)</f>
        <v>0</v>
      </c>
      <c r="AR58" s="591">
        <f>IF(AR$20&lt;=$AK57,IF(($AI57-SUM($AO58:AQ58))*$AM57&lt;AR57,AR57,(($AI57-SUM($AO58:AQ58))*$AM57)),0)</f>
        <v>0</v>
      </c>
      <c r="AS58" s="591">
        <f>IF(AS$20&lt;=$AK57,IF(($AI57-SUM($AO58:AR58))*$AM57&lt;AS57,AS57,(($AI57-SUM($AO58:AR58))*$AM57)),0)</f>
        <v>0</v>
      </c>
      <c r="AT58" s="591">
        <f>IF(AT$20&lt;=$AK57,IF(($AI57-SUM($AO58:AS58))*$AM57&lt;AT57,AT57,(($AI57-SUM($AO58:AS58))*$AM57)),0)</f>
        <v>0</v>
      </c>
      <c r="AU58" s="591">
        <f>IF(AU$20&lt;=$AK57,IF(($AI57-SUM($AO58:AT58))*$AM57&lt;AU57,AU57,(($AI57-SUM($AO58:AT58))*$AM57)),0)</f>
        <v>0</v>
      </c>
      <c r="AV58" s="591">
        <f>IF(AV$20&lt;=$AK57,IF(($AI57-SUM($AO58:AU58))*$AM57&lt;AV57,AV57,(($AI57-SUM($AO58:AU58))*$AM57)),0)</f>
        <v>0</v>
      </c>
      <c r="AW58" s="591">
        <f>IF(AW$20&lt;=$AK57,IF(($AI57-SUM($AO58:AV58))*$AM57&lt;AW57,AW57,(($AI57-SUM($AO58:AV58))*$AM57)),0)</f>
        <v>0</v>
      </c>
      <c r="AX58" s="591">
        <f>IF(AX$20&lt;=$AK57,IF(($AI57-SUM($AO58:AW58))*$AM57&lt;AX57,AX57,(($AI57-SUM($AO58:AW58))*$AM57)),0)</f>
        <v>0</v>
      </c>
      <c r="AY58" s="591">
        <f>IF(AY$20&lt;=$AK57,IF(($AI57-SUM($AO58:AX58))*$AM57&lt;AY57,AY57,(($AI57-SUM($AO58:AX58))*$AM57)),0)</f>
        <v>0</v>
      </c>
      <c r="AZ58" s="591">
        <f>IF(AZ$20&lt;=$AK57,IF(($AI57-SUM($AO58:AY58))*$AM57&lt;AZ57,AZ57,(($AI57-SUM($AO58:AY58))*$AM57)),0)</f>
        <v>0</v>
      </c>
      <c r="BA58" s="591">
        <f>IF(BA$20&lt;=$AK57,IF(($AI57-SUM($AO58:AZ58))*$AM57&lt;BA57,BA57,(($AI57-SUM($AO58:AZ58))*$AM57)),0)</f>
        <v>0</v>
      </c>
      <c r="BB58" s="591">
        <f>IF(BB$20&lt;=$AK57,IF(($AI57-SUM($AO58:BA58))*$AM57&lt;BB57,BB57,(($AI57-SUM($AO58:BA58))*$AM57)),0)</f>
        <v>0</v>
      </c>
      <c r="BC58" s="591">
        <f>IF(BC$20&lt;=$AK57,IF(($AI57-SUM($AO58:BB58))*$AM57&lt;BC57,BC57,(($AI57-SUM($AO58:BB58))*$AM57)),0)</f>
        <v>0</v>
      </c>
      <c r="BD58" s="591">
        <f>IF(BD$20&lt;=$AK57,IF(($AI57-SUM($AO58:BC58))*$AM57&lt;BD57,BD57,(($AI57-SUM($AO58:BC58))*$AM57)),0)</f>
        <v>0</v>
      </c>
      <c r="BE58" s="591">
        <f>IF(BE$20&lt;=$AK57,IF(($AI57-SUM($AO58:BD58))*$AM57&lt;BE57,BE57,(($AI57-SUM($AO58:BD58))*$AM57)),0)</f>
        <v>0</v>
      </c>
      <c r="BF58" s="591">
        <f>IF(BF$20&lt;=$AK57,IF(($AI57-SUM($AO58:BE58))*$AM57&lt;BF57,BF57,(($AI57-SUM($AO58:BE58))*$AM57)),0)</f>
        <v>0</v>
      </c>
      <c r="BG58" s="591">
        <f>IF(BG$20&lt;=$AK57,IF(($AI57-SUM($AO58:BF58))*$AM57&lt;BG57,BG57,(($AI57-SUM($AO58:BF58))*$AM57)),0)</f>
        <v>0</v>
      </c>
      <c r="BH58" s="591">
        <f>IF(BH$20&lt;=$AK57,IF(($AI57-SUM($AO58:BG58))*$AM57&lt;BH57,BH57,(($AI57-SUM($AO58:BG58))*$AM57)),0)</f>
        <v>0</v>
      </c>
      <c r="BI58" s="591">
        <f>SUM(AO58:BH58)</f>
        <v>0</v>
      </c>
      <c r="BJ58" s="606"/>
    </row>
    <row r="59" spans="5:62" ht="15" customHeight="1">
      <c r="AG59" s="649"/>
      <c r="AH59" s="758"/>
      <c r="AI59" s="759"/>
      <c r="AJ59" s="760"/>
      <c r="AK59" s="761"/>
      <c r="AL59" s="758"/>
      <c r="AM59" s="760"/>
      <c r="AN59" s="590" t="s">
        <v>277</v>
      </c>
      <c r="AO59" s="591">
        <f>AO58/12</f>
        <v>0</v>
      </c>
      <c r="AP59" s="591">
        <f t="shared" ref="AP59:BH59" si="44">AP58/12</f>
        <v>0</v>
      </c>
      <c r="AQ59" s="591">
        <f t="shared" si="44"/>
        <v>0</v>
      </c>
      <c r="AR59" s="591">
        <f t="shared" si="44"/>
        <v>0</v>
      </c>
      <c r="AS59" s="591">
        <f t="shared" si="44"/>
        <v>0</v>
      </c>
      <c r="AT59" s="591">
        <f t="shared" si="44"/>
        <v>0</v>
      </c>
      <c r="AU59" s="591">
        <f t="shared" si="44"/>
        <v>0</v>
      </c>
      <c r="AV59" s="591">
        <f t="shared" si="44"/>
        <v>0</v>
      </c>
      <c r="AW59" s="591">
        <f t="shared" si="44"/>
        <v>0</v>
      </c>
      <c r="AX59" s="591">
        <f t="shared" si="44"/>
        <v>0</v>
      </c>
      <c r="AY59" s="591">
        <f t="shared" si="44"/>
        <v>0</v>
      </c>
      <c r="AZ59" s="591">
        <f t="shared" si="44"/>
        <v>0</v>
      </c>
      <c r="BA59" s="591">
        <f t="shared" si="44"/>
        <v>0</v>
      </c>
      <c r="BB59" s="591">
        <f t="shared" si="44"/>
        <v>0</v>
      </c>
      <c r="BC59" s="591">
        <f t="shared" si="44"/>
        <v>0</v>
      </c>
      <c r="BD59" s="591">
        <f t="shared" si="44"/>
        <v>0</v>
      </c>
      <c r="BE59" s="591">
        <f t="shared" si="44"/>
        <v>0</v>
      </c>
      <c r="BF59" s="591">
        <f t="shared" si="44"/>
        <v>0</v>
      </c>
      <c r="BG59" s="591">
        <f t="shared" si="44"/>
        <v>0</v>
      </c>
      <c r="BH59" s="591">
        <f t="shared" si="44"/>
        <v>0</v>
      </c>
      <c r="BI59" s="594"/>
      <c r="BJ59" s="606"/>
    </row>
    <row r="60" spans="5:62" ht="15" customHeight="1">
      <c r="AG60" s="649"/>
      <c r="AH60" s="758">
        <v>14</v>
      </c>
      <c r="AI60" s="759">
        <f>H31</f>
        <v>0</v>
      </c>
      <c r="AJ60" s="760">
        <f>I31</f>
        <v>0</v>
      </c>
      <c r="AK60" s="761">
        <f t="shared" ref="AK60" si="45">IF(AJ60=0,0,ROUNDUP(100/AJ60/100,2))</f>
        <v>0</v>
      </c>
      <c r="AL60" s="758">
        <f t="shared" ref="AL60" si="46">IF(AND(AK60&gt;=1,AK60&lt;=4),1.5,IF(AND(AK60&gt;4,AK60&lt;=6),2,2.5))</f>
        <v>2.5</v>
      </c>
      <c r="AM60" s="760">
        <f>AJ60*AL60</f>
        <v>0</v>
      </c>
      <c r="AN60" s="590" t="s">
        <v>274</v>
      </c>
      <c r="AO60" s="591" t="str">
        <f>IF(AK60=0,"",AI60/AK60)</f>
        <v/>
      </c>
      <c r="AP60" s="591" t="str">
        <f>IF($AK60-AP$20&lt;0,"",($AI60-$AO61)/($AK60-AO$20))</f>
        <v/>
      </c>
      <c r="AQ60" s="591" t="str">
        <f>IF($AK60-AQ$20&lt;0,"",($AI60-SUM($AO61:AP61))/($AK60-AP$20))</f>
        <v/>
      </c>
      <c r="AR60" s="591" t="str">
        <f>IF($AK60-AR$20&lt;0,"",($AI60-SUM($AO61:AQ61))/($AK60-AQ$20))</f>
        <v/>
      </c>
      <c r="AS60" s="591" t="str">
        <f>IF($AK60-AS$20&lt;0,"",($AI60-SUM($AO61:AR61))/($AK60-AR$20))</f>
        <v/>
      </c>
      <c r="AT60" s="591" t="str">
        <f>IF($AK60-AT$20&lt;0,"",($AI60-SUM($AO61:AS61))/($AK60-AS$20))</f>
        <v/>
      </c>
      <c r="AU60" s="591" t="str">
        <f>IF($AK60-AU$20&lt;0,"",($AI60-SUM($AO61:AT61))/($AK60-AT$20))</f>
        <v/>
      </c>
      <c r="AV60" s="591" t="str">
        <f>IF($AK60-AV$20&lt;0,"",($AI60-SUM($AO61:AU61))/($AK60-AU$20))</f>
        <v/>
      </c>
      <c r="AW60" s="591" t="str">
        <f>IF($AK60-AW$20&lt;0,"",($AI60-SUM($AO61:AV61))/($AK60-AV$20))</f>
        <v/>
      </c>
      <c r="AX60" s="591" t="str">
        <f>IF($AK60-AX$20&lt;0,"",($AI60-SUM($AO61:AW61))/($AK60-AW$20))</f>
        <v/>
      </c>
      <c r="AY60" s="591" t="str">
        <f>IF($AK60-AY$20&lt;0,"",($AI60-SUM($AO61:AX61))/($AK60-AX$20))</f>
        <v/>
      </c>
      <c r="AZ60" s="591" t="str">
        <f>IF($AK60-AZ$20&lt;0,"",($AI60-SUM($AO61:AY61))/($AK60-AY$20))</f>
        <v/>
      </c>
      <c r="BA60" s="591" t="str">
        <f>IF($AK60-BA$20&lt;0,"",($AI60-SUM($AO61:AZ61))/($AK60-AZ$20))</f>
        <v/>
      </c>
      <c r="BB60" s="591" t="str">
        <f>IF($AK60-BB$20&lt;0,"",($AI60-SUM($AO61:BA61))/($AK60-BA$20))</f>
        <v/>
      </c>
      <c r="BC60" s="591" t="str">
        <f>IF($AK60-BC$20&lt;0,"",($AI60-SUM($AO61:BB61))/($AK60-BB$20))</f>
        <v/>
      </c>
      <c r="BD60" s="591" t="str">
        <f>IF($AK60-BD$20&lt;0,"",($AI60-SUM($AO61:BC61))/($AK60-BC$20))</f>
        <v/>
      </c>
      <c r="BE60" s="591" t="str">
        <f>IF($AK60-BE$20&lt;0,"",($AI60-SUM($AO61:BD61))/($AK60-BD$20))</f>
        <v/>
      </c>
      <c r="BF60" s="591" t="str">
        <f>IF($AK60-BF$20&lt;0,"",($AI60-SUM($AO61:BE61))/($AK60-BE$20))</f>
        <v/>
      </c>
      <c r="BG60" s="591" t="str">
        <f>IF($AK60-BG$20&lt;0,"",($AI60-SUM($AO61:BF61))/($AK60-BF$20))</f>
        <v/>
      </c>
      <c r="BH60" s="591" t="str">
        <f>IF($AK60-BH$20&lt;0,"",($AI60-SUM($AO61:BG61))/($AK60-BG$20))</f>
        <v/>
      </c>
      <c r="BI60" s="592"/>
      <c r="BJ60" s="606"/>
    </row>
    <row r="61" spans="5:62" ht="15" customHeight="1">
      <c r="AG61" s="649"/>
      <c r="AH61" s="758"/>
      <c r="AI61" s="759"/>
      <c r="AJ61" s="760"/>
      <c r="AK61" s="761"/>
      <c r="AL61" s="758"/>
      <c r="AM61" s="760"/>
      <c r="AN61" s="590" t="s">
        <v>276</v>
      </c>
      <c r="AO61" s="591">
        <f>IF(AO$20&lt;=$AK60,AI60*AM60,0)</f>
        <v>0</v>
      </c>
      <c r="AP61" s="591">
        <f>IF(AP$20&lt;=$AK60,IF(($AI60-$AO61)*$AM60&lt;AP60,AP60,(AI60-AO61)*AM60),0)</f>
        <v>0</v>
      </c>
      <c r="AQ61" s="591">
        <f>IF(AQ$20&lt;=$AK60,IF(($AI60-SUM($AO61:AP61))*$AM60&lt;AQ60,AQ60,(($AI60-SUM($AO61:AP61))*$AM60)),0)</f>
        <v>0</v>
      </c>
      <c r="AR61" s="591">
        <f>IF(AR$20&lt;=$AK60,IF(($AI60-SUM($AO61:AQ61))*$AM60&lt;AR60,AR60,(($AI60-SUM($AO61:AQ61))*$AM60)),0)</f>
        <v>0</v>
      </c>
      <c r="AS61" s="591">
        <f>IF(AS$20&lt;=$AK60,IF(($AI60-SUM($AO61:AR61))*$AM60&lt;AS60,AS60,(($AI60-SUM($AO61:AR61))*$AM60)),0)</f>
        <v>0</v>
      </c>
      <c r="AT61" s="591">
        <f>IF(AT$20&lt;=$AK60,IF(($AI60-SUM($AO61:AS61))*$AM60&lt;AT60,AT60,(($AI60-SUM($AO61:AS61))*$AM60)),0)</f>
        <v>0</v>
      </c>
      <c r="AU61" s="591">
        <f>IF(AU$20&lt;=$AK60,IF(($AI60-SUM($AO61:AT61))*$AM60&lt;AU60,AU60,(($AI60-SUM($AO61:AT61))*$AM60)),0)</f>
        <v>0</v>
      </c>
      <c r="AV61" s="591">
        <f>IF(AV$20&lt;=$AK60,IF(($AI60-SUM($AO61:AU61))*$AM60&lt;AV60,AV60,(($AI60-SUM($AO61:AU61))*$AM60)),0)</f>
        <v>0</v>
      </c>
      <c r="AW61" s="591">
        <f>IF(AW$20&lt;=$AK60,IF(($AI60-SUM($AO61:AV61))*$AM60&lt;AW60,AW60,(($AI60-SUM($AO61:AV61))*$AM60)),0)</f>
        <v>0</v>
      </c>
      <c r="AX61" s="591">
        <f>IF(AX$20&lt;=$AK60,IF(($AI60-SUM($AO61:AW61))*$AM60&lt;AX60,AX60,(($AI60-SUM($AO61:AW61))*$AM60)),0)</f>
        <v>0</v>
      </c>
      <c r="AY61" s="591">
        <f>IF(AY$20&lt;=$AK60,IF(($AI60-SUM($AO61:AX61))*$AM60&lt;AY60,AY60,(($AI60-SUM($AO61:AX61))*$AM60)),0)</f>
        <v>0</v>
      </c>
      <c r="AZ61" s="591">
        <f>IF(AZ$20&lt;=$AK60,IF(($AI60-SUM($AO61:AY61))*$AM60&lt;AZ60,AZ60,(($AI60-SUM($AO61:AY61))*$AM60)),0)</f>
        <v>0</v>
      </c>
      <c r="BA61" s="591">
        <f>IF(BA$20&lt;=$AK60,IF(($AI60-SUM($AO61:AZ61))*$AM60&lt;BA60,BA60,(($AI60-SUM($AO61:AZ61))*$AM60)),0)</f>
        <v>0</v>
      </c>
      <c r="BB61" s="591">
        <f>IF(BB$20&lt;=$AK60,IF(($AI60-SUM($AO61:BA61))*$AM60&lt;BB60,BB60,(($AI60-SUM($AO61:BA61))*$AM60)),0)</f>
        <v>0</v>
      </c>
      <c r="BC61" s="591">
        <f>IF(BC$20&lt;=$AK60,IF(($AI60-SUM($AO61:BB61))*$AM60&lt;BC60,BC60,(($AI60-SUM($AO61:BB61))*$AM60)),0)</f>
        <v>0</v>
      </c>
      <c r="BD61" s="591">
        <f>IF(BD$20&lt;=$AK60,IF(($AI60-SUM($AO61:BC61))*$AM60&lt;BD60,BD60,(($AI60-SUM($AO61:BC61))*$AM60)),0)</f>
        <v>0</v>
      </c>
      <c r="BE61" s="591">
        <f>IF(BE$20&lt;=$AK60,IF(($AI60-SUM($AO61:BD61))*$AM60&lt;BE60,BE60,(($AI60-SUM($AO61:BD61))*$AM60)),0)</f>
        <v>0</v>
      </c>
      <c r="BF61" s="591">
        <f>IF(BF$20&lt;=$AK60,IF(($AI60-SUM($AO61:BE61))*$AM60&lt;BF60,BF60,(($AI60-SUM($AO61:BE61))*$AM60)),0)</f>
        <v>0</v>
      </c>
      <c r="BG61" s="591">
        <f>IF(BG$20&lt;=$AK60,IF(($AI60-SUM($AO61:BF61))*$AM60&lt;BG60,BG60,(($AI60-SUM($AO61:BF61))*$AM60)),0)</f>
        <v>0</v>
      </c>
      <c r="BH61" s="591">
        <f>IF(BH$20&lt;=$AK60,IF(($AI60-SUM($AO61:BG61))*$AM60&lt;BH60,BH60,(($AI60-SUM($AO61:BG61))*$AM60)),0)</f>
        <v>0</v>
      </c>
      <c r="BI61" s="591">
        <f>SUM(AO61:BH61)</f>
        <v>0</v>
      </c>
      <c r="BJ61" s="606"/>
    </row>
    <row r="62" spans="5:62" ht="15" customHeight="1">
      <c r="AG62" s="649"/>
      <c r="AH62" s="758"/>
      <c r="AI62" s="759"/>
      <c r="AJ62" s="760"/>
      <c r="AK62" s="761"/>
      <c r="AL62" s="758"/>
      <c r="AM62" s="760"/>
      <c r="AN62" s="590" t="s">
        <v>277</v>
      </c>
      <c r="AO62" s="591">
        <f>AO61/12</f>
        <v>0</v>
      </c>
      <c r="AP62" s="591">
        <f t="shared" ref="AP62:BH62" si="47">AP61/12</f>
        <v>0</v>
      </c>
      <c r="AQ62" s="591">
        <f t="shared" si="47"/>
        <v>0</v>
      </c>
      <c r="AR62" s="591">
        <f t="shared" si="47"/>
        <v>0</v>
      </c>
      <c r="AS62" s="591">
        <f t="shared" si="47"/>
        <v>0</v>
      </c>
      <c r="AT62" s="591">
        <f t="shared" si="47"/>
        <v>0</v>
      </c>
      <c r="AU62" s="591">
        <f t="shared" si="47"/>
        <v>0</v>
      </c>
      <c r="AV62" s="591">
        <f t="shared" si="47"/>
        <v>0</v>
      </c>
      <c r="AW62" s="591">
        <f t="shared" si="47"/>
        <v>0</v>
      </c>
      <c r="AX62" s="591">
        <f t="shared" si="47"/>
        <v>0</v>
      </c>
      <c r="AY62" s="591">
        <f t="shared" si="47"/>
        <v>0</v>
      </c>
      <c r="AZ62" s="591">
        <f t="shared" si="47"/>
        <v>0</v>
      </c>
      <c r="BA62" s="591">
        <f t="shared" si="47"/>
        <v>0</v>
      </c>
      <c r="BB62" s="591">
        <f t="shared" si="47"/>
        <v>0</v>
      </c>
      <c r="BC62" s="591">
        <f t="shared" si="47"/>
        <v>0</v>
      </c>
      <c r="BD62" s="591">
        <f t="shared" si="47"/>
        <v>0</v>
      </c>
      <c r="BE62" s="591">
        <f t="shared" si="47"/>
        <v>0</v>
      </c>
      <c r="BF62" s="591">
        <f t="shared" si="47"/>
        <v>0</v>
      </c>
      <c r="BG62" s="591">
        <f t="shared" si="47"/>
        <v>0</v>
      </c>
      <c r="BH62" s="591">
        <f t="shared" si="47"/>
        <v>0</v>
      </c>
      <c r="BI62" s="594"/>
      <c r="BJ62" s="606"/>
    </row>
    <row r="63" spans="5:62" ht="15" customHeight="1">
      <c r="AG63" s="649"/>
      <c r="AH63" s="758">
        <v>15</v>
      </c>
      <c r="AI63" s="759">
        <f>H32</f>
        <v>0</v>
      </c>
      <c r="AJ63" s="760">
        <f>I32</f>
        <v>0</v>
      </c>
      <c r="AK63" s="761">
        <f t="shared" ref="AK63" si="48">IF(AJ63=0,0,ROUNDUP(100/AJ63/100,2))</f>
        <v>0</v>
      </c>
      <c r="AL63" s="758">
        <f t="shared" ref="AL63" si="49">IF(AND(AK63&gt;=1,AK63&lt;=4),1.5,IF(AND(AK63&gt;4,AK63&lt;=6),2,2.5))</f>
        <v>2.5</v>
      </c>
      <c r="AM63" s="760">
        <f>AJ63*AL63</f>
        <v>0</v>
      </c>
      <c r="AN63" s="590" t="s">
        <v>274</v>
      </c>
      <c r="AO63" s="591" t="str">
        <f>IF(AK63=0,"",AI63/AK63)</f>
        <v/>
      </c>
      <c r="AP63" s="591" t="str">
        <f>IF($AK63-AP$20&lt;0,"",($AI63-$AO64)/($AK63-AO$20))</f>
        <v/>
      </c>
      <c r="AQ63" s="591" t="str">
        <f>IF($AK63-AQ$20&lt;0,"",($AI63-SUM($AO64:AP64))/($AK63-AP$20))</f>
        <v/>
      </c>
      <c r="AR63" s="591" t="str">
        <f>IF($AK63-AR$20&lt;0,"",($AI63-SUM($AO64:AQ64))/($AK63-AQ$20))</f>
        <v/>
      </c>
      <c r="AS63" s="591" t="str">
        <f>IF($AK63-AS$20&lt;0,"",($AI63-SUM($AO64:AR64))/($AK63-AR$20))</f>
        <v/>
      </c>
      <c r="AT63" s="591" t="str">
        <f>IF($AK63-AT$20&lt;0,"",($AI63-SUM($AO64:AS64))/($AK63-AS$20))</f>
        <v/>
      </c>
      <c r="AU63" s="591" t="str">
        <f>IF($AK63-AU$20&lt;0,"",($AI63-SUM($AO64:AT64))/($AK63-AT$20))</f>
        <v/>
      </c>
      <c r="AV63" s="591" t="str">
        <f>IF($AK63-AV$20&lt;0,"",($AI63-SUM($AO64:AU64))/($AK63-AU$20))</f>
        <v/>
      </c>
      <c r="AW63" s="591" t="str">
        <f>IF($AK63-AW$20&lt;0,"",($AI63-SUM($AO64:AV64))/($AK63-AV$20))</f>
        <v/>
      </c>
      <c r="AX63" s="591" t="str">
        <f>IF($AK63-AX$20&lt;0,"",($AI63-SUM($AO64:AW64))/($AK63-AW$20))</f>
        <v/>
      </c>
      <c r="AY63" s="591" t="str">
        <f>IF($AK63-AY$20&lt;0,"",($AI63-SUM($AO64:AX64))/($AK63-AX$20))</f>
        <v/>
      </c>
      <c r="AZ63" s="591" t="str">
        <f>IF($AK63-AZ$20&lt;0,"",($AI63-SUM($AO64:AY64))/($AK63-AY$20))</f>
        <v/>
      </c>
      <c r="BA63" s="591" t="str">
        <f>IF($AK63-BA$20&lt;0,"",($AI63-SUM($AO64:AZ64))/($AK63-AZ$20))</f>
        <v/>
      </c>
      <c r="BB63" s="591" t="str">
        <f>IF($AK63-BB$20&lt;0,"",($AI63-SUM($AO64:BA64))/($AK63-BA$20))</f>
        <v/>
      </c>
      <c r="BC63" s="591" t="str">
        <f>IF($AK63-BC$20&lt;0,"",($AI63-SUM($AO64:BB64))/($AK63-BB$20))</f>
        <v/>
      </c>
      <c r="BD63" s="591" t="str">
        <f>IF($AK63-BD$20&lt;0,"",($AI63-SUM($AO64:BC64))/($AK63-BC$20))</f>
        <v/>
      </c>
      <c r="BE63" s="591" t="str">
        <f>IF($AK63-BE$20&lt;0,"",($AI63-SUM($AO64:BD64))/($AK63-BD$20))</f>
        <v/>
      </c>
      <c r="BF63" s="591" t="str">
        <f>IF($AK63-BF$20&lt;0,"",($AI63-SUM($AO64:BE64))/($AK63-BE$20))</f>
        <v/>
      </c>
      <c r="BG63" s="591" t="str">
        <f>IF($AK63-BG$20&lt;0,"",($AI63-SUM($AO64:BF64))/($AK63-BF$20))</f>
        <v/>
      </c>
      <c r="BH63" s="591" t="str">
        <f>IF($AK63-BH$20&lt;0,"",($AI63-SUM($AO64:BG64))/($AK63-BG$20))</f>
        <v/>
      </c>
      <c r="BI63" s="592"/>
      <c r="BJ63" s="606"/>
    </row>
    <row r="64" spans="5:62" ht="15" customHeight="1">
      <c r="AG64" s="649"/>
      <c r="AH64" s="758"/>
      <c r="AI64" s="759"/>
      <c r="AJ64" s="760"/>
      <c r="AK64" s="761"/>
      <c r="AL64" s="758"/>
      <c r="AM64" s="760"/>
      <c r="AN64" s="590" t="s">
        <v>276</v>
      </c>
      <c r="AO64" s="591">
        <f>IF(AO$20&lt;=$AK63,AI63*AM63,0)</f>
        <v>0</v>
      </c>
      <c r="AP64" s="591">
        <f>IF(AP$20&lt;=$AK63,IF(($AI63-$AO64)*$AM63&lt;AP63,AP63,(AI63-AO64)*AM63),0)</f>
        <v>0</v>
      </c>
      <c r="AQ64" s="591">
        <f>IF(AQ$20&lt;=$AK63,IF(($AI63-SUM($AO64:AP64))*$AM63&lt;AQ63,AQ63,(($AI63-SUM($AO64:AP64))*$AM63)),0)</f>
        <v>0</v>
      </c>
      <c r="AR64" s="591">
        <f>IF(AR$20&lt;=$AK63,IF(($AI63-SUM($AO64:AQ64))*$AM63&lt;AR63,AR63,(($AI63-SUM($AO64:AQ64))*$AM63)),0)</f>
        <v>0</v>
      </c>
      <c r="AS64" s="591">
        <f>IF(AS$20&lt;=$AK63,IF(($AI63-SUM($AO64:AR64))*$AM63&lt;AS63,AS63,(($AI63-SUM($AO64:AR64))*$AM63)),0)</f>
        <v>0</v>
      </c>
      <c r="AT64" s="591">
        <f>IF(AT$20&lt;=$AK63,IF(($AI63-SUM($AO64:AS64))*$AM63&lt;AT63,AT63,(($AI63-SUM($AO64:AS64))*$AM63)),0)</f>
        <v>0</v>
      </c>
      <c r="AU64" s="591">
        <f>IF(AU$20&lt;=$AK63,IF(($AI63-SUM($AO64:AT64))*$AM63&lt;AU63,AU63,(($AI63-SUM($AO64:AT64))*$AM63)),0)</f>
        <v>0</v>
      </c>
      <c r="AV64" s="591">
        <f>IF(AV$20&lt;=$AK63,IF(($AI63-SUM($AO64:AU64))*$AM63&lt;AV63,AV63,(($AI63-SUM($AO64:AU64))*$AM63)),0)</f>
        <v>0</v>
      </c>
      <c r="AW64" s="591">
        <f>IF(AW$20&lt;=$AK63,IF(($AI63-SUM($AO64:AV64))*$AM63&lt;AW63,AW63,(($AI63-SUM($AO64:AV64))*$AM63)),0)</f>
        <v>0</v>
      </c>
      <c r="AX64" s="591">
        <f>IF(AX$20&lt;=$AK63,IF(($AI63-SUM($AO64:AW64))*$AM63&lt;AX63,AX63,(($AI63-SUM($AO64:AW64))*$AM63)),0)</f>
        <v>0</v>
      </c>
      <c r="AY64" s="591">
        <f>IF(AY$20&lt;=$AK63,IF(($AI63-SUM($AO64:AX64))*$AM63&lt;AY63,AY63,(($AI63-SUM($AO64:AX64))*$AM63)),0)</f>
        <v>0</v>
      </c>
      <c r="AZ64" s="591">
        <f>IF(AZ$20&lt;=$AK63,IF(($AI63-SUM($AO64:AY64))*$AM63&lt;AZ63,AZ63,(($AI63-SUM($AO64:AY64))*$AM63)),0)</f>
        <v>0</v>
      </c>
      <c r="BA64" s="591">
        <f>IF(BA$20&lt;=$AK63,IF(($AI63-SUM($AO64:AZ64))*$AM63&lt;BA63,BA63,(($AI63-SUM($AO64:AZ64))*$AM63)),0)</f>
        <v>0</v>
      </c>
      <c r="BB64" s="591">
        <f>IF(BB$20&lt;=$AK63,IF(($AI63-SUM($AO64:BA64))*$AM63&lt;BB63,BB63,(($AI63-SUM($AO64:BA64))*$AM63)),0)</f>
        <v>0</v>
      </c>
      <c r="BC64" s="591">
        <f>IF(BC$20&lt;=$AK63,IF(($AI63-SUM($AO64:BB64))*$AM63&lt;BC63,BC63,(($AI63-SUM($AO64:BB64))*$AM63)),0)</f>
        <v>0</v>
      </c>
      <c r="BD64" s="591">
        <f>IF(BD$20&lt;=$AK63,IF(($AI63-SUM($AO64:BC64))*$AM63&lt;BD63,BD63,(($AI63-SUM($AO64:BC64))*$AM63)),0)</f>
        <v>0</v>
      </c>
      <c r="BE64" s="591">
        <f>IF(BE$20&lt;=$AK63,IF(($AI63-SUM($AO64:BD64))*$AM63&lt;BE63,BE63,(($AI63-SUM($AO64:BD64))*$AM63)),0)</f>
        <v>0</v>
      </c>
      <c r="BF64" s="591">
        <f>IF(BF$20&lt;=$AK63,IF(($AI63-SUM($AO64:BE64))*$AM63&lt;BF63,BF63,(($AI63-SUM($AO64:BE64))*$AM63)),0)</f>
        <v>0</v>
      </c>
      <c r="BG64" s="591">
        <f>IF(BG$20&lt;=$AK63,IF(($AI63-SUM($AO64:BF64))*$AM63&lt;BG63,BG63,(($AI63-SUM($AO64:BF64))*$AM63)),0)</f>
        <v>0</v>
      </c>
      <c r="BH64" s="591">
        <f>IF(BH$20&lt;=$AK63,IF(($AI63-SUM($AO64:BG64))*$AM63&lt;BH63,BH63,(($AI63-SUM($AO64:BG64))*$AM63)),0)</f>
        <v>0</v>
      </c>
      <c r="BI64" s="591">
        <f>SUM(AO64:BH64)</f>
        <v>0</v>
      </c>
      <c r="BJ64" s="606"/>
    </row>
    <row r="65" spans="33:62" ht="15" customHeight="1">
      <c r="AG65" s="649"/>
      <c r="AH65" s="758"/>
      <c r="AI65" s="759"/>
      <c r="AJ65" s="760"/>
      <c r="AK65" s="761"/>
      <c r="AL65" s="758"/>
      <c r="AM65" s="760"/>
      <c r="AN65" s="590" t="s">
        <v>277</v>
      </c>
      <c r="AO65" s="591">
        <f>AO64/12</f>
        <v>0</v>
      </c>
      <c r="AP65" s="591">
        <f t="shared" ref="AP65:BH65" si="50">AP64/12</f>
        <v>0</v>
      </c>
      <c r="AQ65" s="591">
        <f t="shared" si="50"/>
        <v>0</v>
      </c>
      <c r="AR65" s="591">
        <f t="shared" si="50"/>
        <v>0</v>
      </c>
      <c r="AS65" s="591">
        <f t="shared" si="50"/>
        <v>0</v>
      </c>
      <c r="AT65" s="591">
        <f t="shared" si="50"/>
        <v>0</v>
      </c>
      <c r="AU65" s="591">
        <f t="shared" si="50"/>
        <v>0</v>
      </c>
      <c r="AV65" s="591">
        <f t="shared" si="50"/>
        <v>0</v>
      </c>
      <c r="AW65" s="591">
        <f t="shared" si="50"/>
        <v>0</v>
      </c>
      <c r="AX65" s="591">
        <f t="shared" si="50"/>
        <v>0</v>
      </c>
      <c r="AY65" s="591">
        <f t="shared" si="50"/>
        <v>0</v>
      </c>
      <c r="AZ65" s="591">
        <f t="shared" si="50"/>
        <v>0</v>
      </c>
      <c r="BA65" s="591">
        <f t="shared" si="50"/>
        <v>0</v>
      </c>
      <c r="BB65" s="591">
        <f t="shared" si="50"/>
        <v>0</v>
      </c>
      <c r="BC65" s="591">
        <f t="shared" si="50"/>
        <v>0</v>
      </c>
      <c r="BD65" s="591">
        <f t="shared" si="50"/>
        <v>0</v>
      </c>
      <c r="BE65" s="591">
        <f t="shared" si="50"/>
        <v>0</v>
      </c>
      <c r="BF65" s="591">
        <f t="shared" si="50"/>
        <v>0</v>
      </c>
      <c r="BG65" s="591">
        <f t="shared" si="50"/>
        <v>0</v>
      </c>
      <c r="BH65" s="591">
        <f t="shared" si="50"/>
        <v>0</v>
      </c>
      <c r="BI65" s="594"/>
      <c r="BJ65" s="606"/>
    </row>
    <row r="66" spans="33:62" ht="15" customHeight="1">
      <c r="AG66" s="649"/>
      <c r="AH66" s="758">
        <v>16</v>
      </c>
      <c r="AI66" s="759">
        <f>H33</f>
        <v>0</v>
      </c>
      <c r="AJ66" s="760">
        <f>I33</f>
        <v>0</v>
      </c>
      <c r="AK66" s="761">
        <f t="shared" ref="AK66" si="51">IF(AJ66=0,0,ROUNDUP(100/AJ66/100,2))</f>
        <v>0</v>
      </c>
      <c r="AL66" s="758">
        <f t="shared" ref="AL66" si="52">IF(AND(AK66&gt;=1,AK66&lt;=4),1.5,IF(AND(AK66&gt;4,AK66&lt;=6),2,2.5))</f>
        <v>2.5</v>
      </c>
      <c r="AM66" s="760">
        <f>AJ66*AL66</f>
        <v>0</v>
      </c>
      <c r="AN66" s="590" t="s">
        <v>274</v>
      </c>
      <c r="AO66" s="591" t="str">
        <f>IF(AK66=0,"",AI66/AK66)</f>
        <v/>
      </c>
      <c r="AP66" s="591" t="str">
        <f>IF($AK66-AP$20&lt;0,"",($AI66-$AO67)/($AK66-AO$20))</f>
        <v/>
      </c>
      <c r="AQ66" s="591" t="str">
        <f>IF($AK66-AQ$20&lt;0,"",($AI66-SUM($AO67:AP67))/($AK66-AP$20))</f>
        <v/>
      </c>
      <c r="AR66" s="591" t="str">
        <f>IF($AK66-AR$20&lt;0,"",($AI66-SUM($AO67:AQ67))/($AK66-AQ$20))</f>
        <v/>
      </c>
      <c r="AS66" s="591" t="str">
        <f>IF($AK66-AS$20&lt;0,"",($AI66-SUM($AO67:AR67))/($AK66-AR$20))</f>
        <v/>
      </c>
      <c r="AT66" s="591" t="str">
        <f>IF($AK66-AT$20&lt;0,"",($AI66-SUM($AO67:AS67))/($AK66-AS$20))</f>
        <v/>
      </c>
      <c r="AU66" s="591" t="str">
        <f>IF($AK66-AU$20&lt;0,"",($AI66-SUM($AO67:AT67))/($AK66-AT$20))</f>
        <v/>
      </c>
      <c r="AV66" s="591" t="str">
        <f>IF($AK66-AV$20&lt;0,"",($AI66-SUM($AO67:AU67))/($AK66-AU$20))</f>
        <v/>
      </c>
      <c r="AW66" s="591" t="str">
        <f>IF($AK66-AW$20&lt;0,"",($AI66-SUM($AO67:AV67))/($AK66-AV$20))</f>
        <v/>
      </c>
      <c r="AX66" s="591" t="str">
        <f>IF($AK66-AX$20&lt;0,"",($AI66-SUM($AO67:AW67))/($AK66-AW$20))</f>
        <v/>
      </c>
      <c r="AY66" s="591" t="str">
        <f>IF($AK66-AY$20&lt;0,"",($AI66-SUM($AO67:AX67))/($AK66-AX$20))</f>
        <v/>
      </c>
      <c r="AZ66" s="591" t="str">
        <f>IF($AK66-AZ$20&lt;0,"",($AI66-SUM($AO67:AY67))/($AK66-AY$20))</f>
        <v/>
      </c>
      <c r="BA66" s="591" t="str">
        <f>IF($AK66-BA$20&lt;0,"",($AI66-SUM($AO67:AZ67))/($AK66-AZ$20))</f>
        <v/>
      </c>
      <c r="BB66" s="591" t="str">
        <f>IF($AK66-BB$20&lt;0,"",($AI66-SUM($AO67:BA67))/($AK66-BA$20))</f>
        <v/>
      </c>
      <c r="BC66" s="591" t="str">
        <f>IF($AK66-BC$20&lt;0,"",($AI66-SUM($AO67:BB67))/($AK66-BB$20))</f>
        <v/>
      </c>
      <c r="BD66" s="591" t="str">
        <f>IF($AK66-BD$20&lt;0,"",($AI66-SUM($AO67:BC67))/($AK66-BC$20))</f>
        <v/>
      </c>
      <c r="BE66" s="591" t="str">
        <f>IF($AK66-BE$20&lt;0,"",($AI66-SUM($AO67:BD67))/($AK66-BD$20))</f>
        <v/>
      </c>
      <c r="BF66" s="591" t="str">
        <f>IF($AK66-BF$20&lt;0,"",($AI66-SUM($AO67:BE67))/($AK66-BE$20))</f>
        <v/>
      </c>
      <c r="BG66" s="591" t="str">
        <f>IF($AK66-BG$20&lt;0,"",($AI66-SUM($AO67:BF67))/($AK66-BF$20))</f>
        <v/>
      </c>
      <c r="BH66" s="591" t="str">
        <f>IF($AK66-BH$20&lt;0,"",($AI66-SUM($AO67:BG67))/($AK66-BG$20))</f>
        <v/>
      </c>
      <c r="BI66" s="592"/>
      <c r="BJ66" s="606"/>
    </row>
    <row r="67" spans="33:62" ht="15" customHeight="1">
      <c r="AG67" s="649"/>
      <c r="AH67" s="758"/>
      <c r="AI67" s="759"/>
      <c r="AJ67" s="760"/>
      <c r="AK67" s="761"/>
      <c r="AL67" s="758"/>
      <c r="AM67" s="760"/>
      <c r="AN67" s="590" t="s">
        <v>276</v>
      </c>
      <c r="AO67" s="591">
        <f>IF(AO$20&lt;=$AK66,AI66*AM66,0)</f>
        <v>0</v>
      </c>
      <c r="AP67" s="591">
        <f>IF(AP$20&lt;=$AK66,IF(($AI66-$AO67)*$AM66&lt;AP66,AP66,(AI66-AO67)*AM66),0)</f>
        <v>0</v>
      </c>
      <c r="AQ67" s="591">
        <f>IF(AQ$20&lt;=$AK66,IF(($AI66-SUM($AO67:AP67))*$AM66&lt;AQ66,AQ66,(($AI66-SUM($AO67:AP67))*$AM66)),0)</f>
        <v>0</v>
      </c>
      <c r="AR67" s="591">
        <f>IF(AR$20&lt;=$AK66,IF(($AI66-SUM($AO67:AQ67))*$AM66&lt;AR66,AR66,(($AI66-SUM($AO67:AQ67))*$AM66)),0)</f>
        <v>0</v>
      </c>
      <c r="AS67" s="591">
        <f>IF(AS$20&lt;=$AK66,IF(($AI66-SUM($AO67:AR67))*$AM66&lt;AS66,AS66,(($AI66-SUM($AO67:AR67))*$AM66)),0)</f>
        <v>0</v>
      </c>
      <c r="AT67" s="591">
        <f>IF(AT$20&lt;=$AK66,IF(($AI66-SUM($AO67:AS67))*$AM66&lt;AT66,AT66,(($AI66-SUM($AO67:AS67))*$AM66)),0)</f>
        <v>0</v>
      </c>
      <c r="AU67" s="591">
        <f>IF(AU$20&lt;=$AK66,IF(($AI66-SUM($AO67:AT67))*$AM66&lt;AU66,AU66,(($AI66-SUM($AO67:AT67))*$AM66)),0)</f>
        <v>0</v>
      </c>
      <c r="AV67" s="591">
        <f>IF(AV$20&lt;=$AK66,IF(($AI66-SUM($AO67:AU67))*$AM66&lt;AV66,AV66,(($AI66-SUM($AO67:AU67))*$AM66)),0)</f>
        <v>0</v>
      </c>
      <c r="AW67" s="591">
        <f>IF(AW$20&lt;=$AK66,IF(($AI66-SUM($AO67:AV67))*$AM66&lt;AW66,AW66,(($AI66-SUM($AO67:AV67))*$AM66)),0)</f>
        <v>0</v>
      </c>
      <c r="AX67" s="591">
        <f>IF(AX$20&lt;=$AK66,IF(($AI66-SUM($AO67:AW67))*$AM66&lt;AX66,AX66,(($AI66-SUM($AO67:AW67))*$AM66)),0)</f>
        <v>0</v>
      </c>
      <c r="AY67" s="591">
        <f>IF(AY$20&lt;=$AK66,IF(($AI66-SUM($AO67:AX67))*$AM66&lt;AY66,AY66,(($AI66-SUM($AO67:AX67))*$AM66)),0)</f>
        <v>0</v>
      </c>
      <c r="AZ67" s="591">
        <f>IF(AZ$20&lt;=$AK66,IF(($AI66-SUM($AO67:AY67))*$AM66&lt;AZ66,AZ66,(($AI66-SUM($AO67:AY67))*$AM66)),0)</f>
        <v>0</v>
      </c>
      <c r="BA67" s="591">
        <f>IF(BA$20&lt;=$AK66,IF(($AI66-SUM($AO67:AZ67))*$AM66&lt;BA66,BA66,(($AI66-SUM($AO67:AZ67))*$AM66)),0)</f>
        <v>0</v>
      </c>
      <c r="BB67" s="591">
        <f>IF(BB$20&lt;=$AK66,IF(($AI66-SUM($AO67:BA67))*$AM66&lt;BB66,BB66,(($AI66-SUM($AO67:BA67))*$AM66)),0)</f>
        <v>0</v>
      </c>
      <c r="BC67" s="591">
        <f>IF(BC$20&lt;=$AK66,IF(($AI66-SUM($AO67:BB67))*$AM66&lt;BC66,BC66,(($AI66-SUM($AO67:BB67))*$AM66)),0)</f>
        <v>0</v>
      </c>
      <c r="BD67" s="591">
        <f>IF(BD$20&lt;=$AK66,IF(($AI66-SUM($AO67:BC67))*$AM66&lt;BD66,BD66,(($AI66-SUM($AO67:BC67))*$AM66)),0)</f>
        <v>0</v>
      </c>
      <c r="BE67" s="591">
        <f>IF(BE$20&lt;=$AK66,IF(($AI66-SUM($AO67:BD67))*$AM66&lt;BE66,BE66,(($AI66-SUM($AO67:BD67))*$AM66)),0)</f>
        <v>0</v>
      </c>
      <c r="BF67" s="591">
        <f>IF(BF$20&lt;=$AK66,IF(($AI66-SUM($AO67:BE67))*$AM66&lt;BF66,BF66,(($AI66-SUM($AO67:BE67))*$AM66)),0)</f>
        <v>0</v>
      </c>
      <c r="BG67" s="591">
        <f>IF(BG$20&lt;=$AK66,IF(($AI66-SUM($AO67:BF67))*$AM66&lt;BG66,BG66,(($AI66-SUM($AO67:BF67))*$AM66)),0)</f>
        <v>0</v>
      </c>
      <c r="BH67" s="591">
        <f>IF(BH$20&lt;=$AK66,IF(($AI66-SUM($AO67:BG67))*$AM66&lt;BH66,BH66,(($AI66-SUM($AO67:BG67))*$AM66)),0)</f>
        <v>0</v>
      </c>
      <c r="BI67" s="591">
        <f>SUM(AO67:BH67)</f>
        <v>0</v>
      </c>
      <c r="BJ67" s="606"/>
    </row>
    <row r="68" spans="33:62" ht="15" customHeight="1">
      <c r="AG68" s="649"/>
      <c r="AH68" s="758"/>
      <c r="AI68" s="759"/>
      <c r="AJ68" s="760"/>
      <c r="AK68" s="761"/>
      <c r="AL68" s="758"/>
      <c r="AM68" s="760"/>
      <c r="AN68" s="590" t="s">
        <v>277</v>
      </c>
      <c r="AO68" s="591">
        <f>AO67/12</f>
        <v>0</v>
      </c>
      <c r="AP68" s="591">
        <f t="shared" ref="AP68:BH68" si="53">AP67/12</f>
        <v>0</v>
      </c>
      <c r="AQ68" s="591">
        <f t="shared" si="53"/>
        <v>0</v>
      </c>
      <c r="AR68" s="591">
        <f t="shared" si="53"/>
        <v>0</v>
      </c>
      <c r="AS68" s="591">
        <f t="shared" si="53"/>
        <v>0</v>
      </c>
      <c r="AT68" s="591">
        <f t="shared" si="53"/>
        <v>0</v>
      </c>
      <c r="AU68" s="591">
        <f t="shared" si="53"/>
        <v>0</v>
      </c>
      <c r="AV68" s="591">
        <f t="shared" si="53"/>
        <v>0</v>
      </c>
      <c r="AW68" s="591">
        <f t="shared" si="53"/>
        <v>0</v>
      </c>
      <c r="AX68" s="591">
        <f t="shared" si="53"/>
        <v>0</v>
      </c>
      <c r="AY68" s="591">
        <f t="shared" si="53"/>
        <v>0</v>
      </c>
      <c r="AZ68" s="591">
        <f t="shared" si="53"/>
        <v>0</v>
      </c>
      <c r="BA68" s="591">
        <f t="shared" si="53"/>
        <v>0</v>
      </c>
      <c r="BB68" s="591">
        <f t="shared" si="53"/>
        <v>0</v>
      </c>
      <c r="BC68" s="591">
        <f t="shared" si="53"/>
        <v>0</v>
      </c>
      <c r="BD68" s="591">
        <f t="shared" si="53"/>
        <v>0</v>
      </c>
      <c r="BE68" s="591">
        <f t="shared" si="53"/>
        <v>0</v>
      </c>
      <c r="BF68" s="591">
        <f t="shared" si="53"/>
        <v>0</v>
      </c>
      <c r="BG68" s="591">
        <f t="shared" si="53"/>
        <v>0</v>
      </c>
      <c r="BH68" s="591">
        <f t="shared" si="53"/>
        <v>0</v>
      </c>
      <c r="BI68" s="594"/>
      <c r="BJ68" s="606"/>
    </row>
    <row r="69" spans="33:62" ht="15" customHeight="1">
      <c r="AG69" s="649"/>
      <c r="AH69" s="758">
        <v>17</v>
      </c>
      <c r="AI69" s="759">
        <f>H34</f>
        <v>0</v>
      </c>
      <c r="AJ69" s="760">
        <f>I34</f>
        <v>0</v>
      </c>
      <c r="AK69" s="761">
        <f t="shared" ref="AK69" si="54">IF(AJ69=0,0,ROUNDUP(100/AJ69/100,2))</f>
        <v>0</v>
      </c>
      <c r="AL69" s="758">
        <f t="shared" ref="AL69" si="55">IF(AND(AK69&gt;=1,AK69&lt;=4),1.5,IF(AND(AK69&gt;4,AK69&lt;=6),2,2.5))</f>
        <v>2.5</v>
      </c>
      <c r="AM69" s="760">
        <f>AJ69*AL69</f>
        <v>0</v>
      </c>
      <c r="AN69" s="590" t="s">
        <v>274</v>
      </c>
      <c r="AO69" s="591" t="str">
        <f>IF(AK69=0,"",AI69/AK69)</f>
        <v/>
      </c>
      <c r="AP69" s="591" t="str">
        <f>IF($AK69-AP$20&lt;0,"",($AI69-$AO70)/($AK69-AO$20))</f>
        <v/>
      </c>
      <c r="AQ69" s="591" t="str">
        <f>IF($AK69-AQ$20&lt;0,"",($AI69-SUM($AO70:AP70))/($AK69-AP$20))</f>
        <v/>
      </c>
      <c r="AR69" s="591" t="str">
        <f>IF($AK69-AR$20&lt;0,"",($AI69-SUM($AO70:AQ70))/($AK69-AQ$20))</f>
        <v/>
      </c>
      <c r="AS69" s="591" t="str">
        <f>IF($AK69-AS$20&lt;0,"",($AI69-SUM($AO70:AR70))/($AK69-AR$20))</f>
        <v/>
      </c>
      <c r="AT69" s="591" t="str">
        <f>IF($AK69-AT$20&lt;0,"",($AI69-SUM($AO70:AS70))/($AK69-AS$20))</f>
        <v/>
      </c>
      <c r="AU69" s="591" t="str">
        <f>IF($AK69-AU$20&lt;0,"",($AI69-SUM($AO70:AT70))/($AK69-AT$20))</f>
        <v/>
      </c>
      <c r="AV69" s="591" t="str">
        <f>IF($AK69-AV$20&lt;0,"",($AI69-SUM($AO70:AU70))/($AK69-AU$20))</f>
        <v/>
      </c>
      <c r="AW69" s="591" t="str">
        <f>IF($AK69-AW$20&lt;0,"",($AI69-SUM($AO70:AV70))/($AK69-AV$20))</f>
        <v/>
      </c>
      <c r="AX69" s="591" t="str">
        <f>IF($AK69-AX$20&lt;0,"",($AI69-SUM($AO70:AW70))/($AK69-AW$20))</f>
        <v/>
      </c>
      <c r="AY69" s="591" t="str">
        <f>IF($AK69-AY$20&lt;0,"",($AI69-SUM($AO70:AX70))/($AK69-AX$20))</f>
        <v/>
      </c>
      <c r="AZ69" s="591" t="str">
        <f>IF($AK69-AZ$20&lt;0,"",($AI69-SUM($AO70:AY70))/($AK69-AY$20))</f>
        <v/>
      </c>
      <c r="BA69" s="591" t="str">
        <f>IF($AK69-BA$20&lt;0,"",($AI69-SUM($AO70:AZ70))/($AK69-AZ$20))</f>
        <v/>
      </c>
      <c r="BB69" s="591" t="str">
        <f>IF($AK69-BB$20&lt;0,"",($AI69-SUM($AO70:BA70))/($AK69-BA$20))</f>
        <v/>
      </c>
      <c r="BC69" s="591" t="str">
        <f>IF($AK69-BC$20&lt;0,"",($AI69-SUM($AO70:BB70))/($AK69-BB$20))</f>
        <v/>
      </c>
      <c r="BD69" s="591" t="str">
        <f>IF($AK69-BD$20&lt;0,"",($AI69-SUM($AO70:BC70))/($AK69-BC$20))</f>
        <v/>
      </c>
      <c r="BE69" s="591" t="str">
        <f>IF($AK69-BE$20&lt;0,"",($AI69-SUM($AO70:BD70))/($AK69-BD$20))</f>
        <v/>
      </c>
      <c r="BF69" s="591" t="str">
        <f>IF($AK69-BF$20&lt;0,"",($AI69-SUM($AO70:BE70))/($AK69-BE$20))</f>
        <v/>
      </c>
      <c r="BG69" s="591" t="str">
        <f>IF($AK69-BG$20&lt;0,"",($AI69-SUM($AO70:BF70))/($AK69-BF$20))</f>
        <v/>
      </c>
      <c r="BH69" s="591" t="str">
        <f>IF($AK69-BH$20&lt;0,"",($AI69-SUM($AO70:BG70))/($AK69-BG$20))</f>
        <v/>
      </c>
      <c r="BI69" s="592"/>
      <c r="BJ69" s="606"/>
    </row>
    <row r="70" spans="33:62" ht="15" customHeight="1">
      <c r="AG70" s="649"/>
      <c r="AH70" s="758"/>
      <c r="AI70" s="759"/>
      <c r="AJ70" s="760"/>
      <c r="AK70" s="761"/>
      <c r="AL70" s="758"/>
      <c r="AM70" s="760"/>
      <c r="AN70" s="590" t="s">
        <v>276</v>
      </c>
      <c r="AO70" s="591">
        <f>IF(AO$20&lt;=$AK69,AI69*AM69,0)</f>
        <v>0</v>
      </c>
      <c r="AP70" s="591">
        <f>IF(AP$20&lt;=$AK69,IF(($AI69-$AO70)*$AM69&lt;AP69,AP69,(AI69-AO70)*AM69),0)</f>
        <v>0</v>
      </c>
      <c r="AQ70" s="591">
        <f>IF(AQ$20&lt;=$AK69,IF(($AI69-SUM($AO70:AP70))*$AM69&lt;AQ69,AQ69,(($AI69-SUM($AO70:AP70))*$AM69)),0)</f>
        <v>0</v>
      </c>
      <c r="AR70" s="591">
        <f>IF(AR$20&lt;=$AK69,IF(($AI69-SUM($AO70:AQ70))*$AM69&lt;AR69,AR69,(($AI69-SUM($AO70:AQ70))*$AM69)),0)</f>
        <v>0</v>
      </c>
      <c r="AS70" s="591">
        <f>IF(AS$20&lt;=$AK69,IF(($AI69-SUM($AO70:AR70))*$AM69&lt;AS69,AS69,(($AI69-SUM($AO70:AR70))*$AM69)),0)</f>
        <v>0</v>
      </c>
      <c r="AT70" s="591">
        <f>IF(AT$20&lt;=$AK69,IF(($AI69-SUM($AO70:AS70))*$AM69&lt;AT69,AT69,(($AI69-SUM($AO70:AS70))*$AM69)),0)</f>
        <v>0</v>
      </c>
      <c r="AU70" s="591">
        <f>IF(AU$20&lt;=$AK69,IF(($AI69-SUM($AO70:AT70))*$AM69&lt;AU69,AU69,(($AI69-SUM($AO70:AT70))*$AM69)),0)</f>
        <v>0</v>
      </c>
      <c r="AV70" s="591">
        <f>IF(AV$20&lt;=$AK69,IF(($AI69-SUM($AO70:AU70))*$AM69&lt;AV69,AV69,(($AI69-SUM($AO70:AU70))*$AM69)),0)</f>
        <v>0</v>
      </c>
      <c r="AW70" s="591">
        <f>IF(AW$20&lt;=$AK69,IF(($AI69-SUM($AO70:AV70))*$AM69&lt;AW69,AW69,(($AI69-SUM($AO70:AV70))*$AM69)),0)</f>
        <v>0</v>
      </c>
      <c r="AX70" s="591">
        <f>IF(AX$20&lt;=$AK69,IF(($AI69-SUM($AO70:AW70))*$AM69&lt;AX69,AX69,(($AI69-SUM($AO70:AW70))*$AM69)),0)</f>
        <v>0</v>
      </c>
      <c r="AY70" s="591">
        <f>IF(AY$20&lt;=$AK69,IF(($AI69-SUM($AO70:AX70))*$AM69&lt;AY69,AY69,(($AI69-SUM($AO70:AX70))*$AM69)),0)</f>
        <v>0</v>
      </c>
      <c r="AZ70" s="591">
        <f>IF(AZ$20&lt;=$AK69,IF(($AI69-SUM($AO70:AY70))*$AM69&lt;AZ69,AZ69,(($AI69-SUM($AO70:AY70))*$AM69)),0)</f>
        <v>0</v>
      </c>
      <c r="BA70" s="591">
        <f>IF(BA$20&lt;=$AK69,IF(($AI69-SUM($AO70:AZ70))*$AM69&lt;BA69,BA69,(($AI69-SUM($AO70:AZ70))*$AM69)),0)</f>
        <v>0</v>
      </c>
      <c r="BB70" s="591">
        <f>IF(BB$20&lt;=$AK69,IF(($AI69-SUM($AO70:BA70))*$AM69&lt;BB69,BB69,(($AI69-SUM($AO70:BA70))*$AM69)),0)</f>
        <v>0</v>
      </c>
      <c r="BC70" s="591">
        <f>IF(BC$20&lt;=$AK69,IF(($AI69-SUM($AO70:BB70))*$AM69&lt;BC69,BC69,(($AI69-SUM($AO70:BB70))*$AM69)),0)</f>
        <v>0</v>
      </c>
      <c r="BD70" s="591">
        <f>IF(BD$20&lt;=$AK69,IF(($AI69-SUM($AO70:BC70))*$AM69&lt;BD69,BD69,(($AI69-SUM($AO70:BC70))*$AM69)),0)</f>
        <v>0</v>
      </c>
      <c r="BE70" s="591">
        <f>IF(BE$20&lt;=$AK69,IF(($AI69-SUM($AO70:BD70))*$AM69&lt;BE69,BE69,(($AI69-SUM($AO70:BD70))*$AM69)),0)</f>
        <v>0</v>
      </c>
      <c r="BF70" s="591">
        <f>IF(BF$20&lt;=$AK69,IF(($AI69-SUM($AO70:BE70))*$AM69&lt;BF69,BF69,(($AI69-SUM($AO70:BE70))*$AM69)),0)</f>
        <v>0</v>
      </c>
      <c r="BG70" s="591">
        <f>IF(BG$20&lt;=$AK69,IF(($AI69-SUM($AO70:BF70))*$AM69&lt;BG69,BG69,(($AI69-SUM($AO70:BF70))*$AM69)),0)</f>
        <v>0</v>
      </c>
      <c r="BH70" s="591">
        <f>IF(BH$20&lt;=$AK69,IF(($AI69-SUM($AO70:BG70))*$AM69&lt;BH69,BH69,(($AI69-SUM($AO70:BG70))*$AM69)),0)</f>
        <v>0</v>
      </c>
      <c r="BI70" s="591">
        <f>SUM(AO70:BH70)</f>
        <v>0</v>
      </c>
      <c r="BJ70" s="606"/>
    </row>
    <row r="71" spans="33:62" ht="15" customHeight="1">
      <c r="AG71" s="649"/>
      <c r="AH71" s="758"/>
      <c r="AI71" s="759"/>
      <c r="AJ71" s="760"/>
      <c r="AK71" s="761"/>
      <c r="AL71" s="758"/>
      <c r="AM71" s="760"/>
      <c r="AN71" s="590" t="s">
        <v>277</v>
      </c>
      <c r="AO71" s="591">
        <f>AO70/12</f>
        <v>0</v>
      </c>
      <c r="AP71" s="591">
        <f t="shared" ref="AP71:BH71" si="56">AP70/12</f>
        <v>0</v>
      </c>
      <c r="AQ71" s="591">
        <f t="shared" si="56"/>
        <v>0</v>
      </c>
      <c r="AR71" s="591">
        <f t="shared" si="56"/>
        <v>0</v>
      </c>
      <c r="AS71" s="591">
        <f t="shared" si="56"/>
        <v>0</v>
      </c>
      <c r="AT71" s="591">
        <f t="shared" si="56"/>
        <v>0</v>
      </c>
      <c r="AU71" s="591">
        <f t="shared" si="56"/>
        <v>0</v>
      </c>
      <c r="AV71" s="591">
        <f t="shared" si="56"/>
        <v>0</v>
      </c>
      <c r="AW71" s="591">
        <f t="shared" si="56"/>
        <v>0</v>
      </c>
      <c r="AX71" s="591">
        <f t="shared" si="56"/>
        <v>0</v>
      </c>
      <c r="AY71" s="591">
        <f t="shared" si="56"/>
        <v>0</v>
      </c>
      <c r="AZ71" s="591">
        <f t="shared" si="56"/>
        <v>0</v>
      </c>
      <c r="BA71" s="591">
        <f t="shared" si="56"/>
        <v>0</v>
      </c>
      <c r="BB71" s="591">
        <f t="shared" si="56"/>
        <v>0</v>
      </c>
      <c r="BC71" s="591">
        <f t="shared" si="56"/>
        <v>0</v>
      </c>
      <c r="BD71" s="591">
        <f t="shared" si="56"/>
        <v>0</v>
      </c>
      <c r="BE71" s="591">
        <f t="shared" si="56"/>
        <v>0</v>
      </c>
      <c r="BF71" s="591">
        <f t="shared" si="56"/>
        <v>0</v>
      </c>
      <c r="BG71" s="591">
        <f t="shared" si="56"/>
        <v>0</v>
      </c>
      <c r="BH71" s="591">
        <f t="shared" si="56"/>
        <v>0</v>
      </c>
      <c r="BI71" s="594"/>
      <c r="BJ71" s="606"/>
    </row>
    <row r="72" spans="33:62" ht="15" customHeight="1">
      <c r="AG72" s="649"/>
      <c r="AH72" s="758">
        <v>18</v>
      </c>
      <c r="AI72" s="759">
        <f>H35</f>
        <v>0</v>
      </c>
      <c r="AJ72" s="760">
        <f>I35</f>
        <v>0</v>
      </c>
      <c r="AK72" s="761">
        <f t="shared" ref="AK72" si="57">IF(AJ72=0,0,ROUNDUP(100/AJ72/100,2))</f>
        <v>0</v>
      </c>
      <c r="AL72" s="758">
        <f t="shared" ref="AL72" si="58">IF(AND(AK72&gt;=1,AK72&lt;=4),1.5,IF(AND(AK72&gt;4,AK72&lt;=6),2,2.5))</f>
        <v>2.5</v>
      </c>
      <c r="AM72" s="760">
        <f>AJ72*AL72</f>
        <v>0</v>
      </c>
      <c r="AN72" s="590" t="s">
        <v>274</v>
      </c>
      <c r="AO72" s="591" t="str">
        <f>IF(AK72=0,"",AI72/AK72)</f>
        <v/>
      </c>
      <c r="AP72" s="591" t="str">
        <f>IF($AK72-AP$20&lt;0,"",($AI72-$AO73)/($AK72-AO$20))</f>
        <v/>
      </c>
      <c r="AQ72" s="591" t="str">
        <f>IF($AK72-AQ$20&lt;0,"",($AI72-SUM($AO73:AP73))/($AK72-AP$20))</f>
        <v/>
      </c>
      <c r="AR72" s="591" t="str">
        <f>IF($AK72-AR$20&lt;0,"",($AI72-SUM($AO73:AQ73))/($AK72-AQ$20))</f>
        <v/>
      </c>
      <c r="AS72" s="591" t="str">
        <f>IF($AK72-AS$20&lt;0,"",($AI72-SUM($AO73:AR73))/($AK72-AR$20))</f>
        <v/>
      </c>
      <c r="AT72" s="591" t="str">
        <f>IF($AK72-AT$20&lt;0,"",($AI72-SUM($AO73:AS73))/($AK72-AS$20))</f>
        <v/>
      </c>
      <c r="AU72" s="591" t="str">
        <f>IF($AK72-AU$20&lt;0,"",($AI72-SUM($AO73:AT73))/($AK72-AT$20))</f>
        <v/>
      </c>
      <c r="AV72" s="591" t="str">
        <f>IF($AK72-AV$20&lt;0,"",($AI72-SUM($AO73:AU73))/($AK72-AU$20))</f>
        <v/>
      </c>
      <c r="AW72" s="591" t="str">
        <f>IF($AK72-AW$20&lt;0,"",($AI72-SUM($AO73:AV73))/($AK72-AV$20))</f>
        <v/>
      </c>
      <c r="AX72" s="591" t="str">
        <f>IF($AK72-AX$20&lt;0,"",($AI72-SUM($AO73:AW73))/($AK72-AW$20))</f>
        <v/>
      </c>
      <c r="AY72" s="591" t="str">
        <f>IF($AK72-AY$20&lt;0,"",($AI72-SUM($AO73:AX73))/($AK72-AX$20))</f>
        <v/>
      </c>
      <c r="AZ72" s="591" t="str">
        <f>IF($AK72-AZ$20&lt;0,"",($AI72-SUM($AO73:AY73))/($AK72-AY$20))</f>
        <v/>
      </c>
      <c r="BA72" s="591" t="str">
        <f>IF($AK72-BA$20&lt;0,"",($AI72-SUM($AO73:AZ73))/($AK72-AZ$20))</f>
        <v/>
      </c>
      <c r="BB72" s="591" t="str">
        <f>IF($AK72-BB$20&lt;0,"",($AI72-SUM($AO73:BA73))/($AK72-BA$20))</f>
        <v/>
      </c>
      <c r="BC72" s="591" t="str">
        <f>IF($AK72-BC$20&lt;0,"",($AI72-SUM($AO73:BB73))/($AK72-BB$20))</f>
        <v/>
      </c>
      <c r="BD72" s="591" t="str">
        <f>IF($AK72-BD$20&lt;0,"",($AI72-SUM($AO73:BC73))/($AK72-BC$20))</f>
        <v/>
      </c>
      <c r="BE72" s="591" t="str">
        <f>IF($AK72-BE$20&lt;0,"",($AI72-SUM($AO73:BD73))/($AK72-BD$20))</f>
        <v/>
      </c>
      <c r="BF72" s="591" t="str">
        <f>IF($AK72-BF$20&lt;0,"",($AI72-SUM($AO73:BE73))/($AK72-BE$20))</f>
        <v/>
      </c>
      <c r="BG72" s="591" t="str">
        <f>IF($AK72-BG$20&lt;0,"",($AI72-SUM($AO73:BF73))/($AK72-BF$20))</f>
        <v/>
      </c>
      <c r="BH72" s="591" t="str">
        <f>IF($AK72-BH$20&lt;0,"",($AI72-SUM($AO73:BG73))/($AK72-BG$20))</f>
        <v/>
      </c>
      <c r="BI72" s="592"/>
      <c r="BJ72" s="606"/>
    </row>
    <row r="73" spans="33:62" ht="15" customHeight="1">
      <c r="AG73" s="649"/>
      <c r="AH73" s="758"/>
      <c r="AI73" s="759"/>
      <c r="AJ73" s="760"/>
      <c r="AK73" s="761"/>
      <c r="AL73" s="758"/>
      <c r="AM73" s="760"/>
      <c r="AN73" s="590" t="s">
        <v>276</v>
      </c>
      <c r="AO73" s="591">
        <f>IF(AO$20&lt;=$AK72,AI72*AM72,0)</f>
        <v>0</v>
      </c>
      <c r="AP73" s="591">
        <f>IF(AP$20&lt;=$AK72,IF(($AI72-$AO73)*$AM72&lt;AP72,AP72,(AI72-AO73)*AM72),0)</f>
        <v>0</v>
      </c>
      <c r="AQ73" s="591">
        <f>IF(AQ$20&lt;=$AK72,IF(($AI72-SUM($AO73:AP73))*$AM72&lt;AQ72,AQ72,(($AI72-SUM($AO73:AP73))*$AM72)),0)</f>
        <v>0</v>
      </c>
      <c r="AR73" s="591">
        <f>IF(AR$20&lt;=$AK72,IF(($AI72-SUM($AO73:AQ73))*$AM72&lt;AR72,AR72,(($AI72-SUM($AO73:AQ73))*$AM72)),0)</f>
        <v>0</v>
      </c>
      <c r="AS73" s="591">
        <f>IF(AS$20&lt;=$AK72,IF(($AI72-SUM($AO73:AR73))*$AM72&lt;AS72,AS72,(($AI72-SUM($AO73:AR73))*$AM72)),0)</f>
        <v>0</v>
      </c>
      <c r="AT73" s="591">
        <f>IF(AT$20&lt;=$AK72,IF(($AI72-SUM($AO73:AS73))*$AM72&lt;AT72,AT72,(($AI72-SUM($AO73:AS73))*$AM72)),0)</f>
        <v>0</v>
      </c>
      <c r="AU73" s="591">
        <f>IF(AU$20&lt;=$AK72,IF(($AI72-SUM($AO73:AT73))*$AM72&lt;AU72,AU72,(($AI72-SUM($AO73:AT73))*$AM72)),0)</f>
        <v>0</v>
      </c>
      <c r="AV73" s="591">
        <f>IF(AV$20&lt;=$AK72,IF(($AI72-SUM($AO73:AU73))*$AM72&lt;AV72,AV72,(($AI72-SUM($AO73:AU73))*$AM72)),0)</f>
        <v>0</v>
      </c>
      <c r="AW73" s="591">
        <f>IF(AW$20&lt;=$AK72,IF(($AI72-SUM($AO73:AV73))*$AM72&lt;AW72,AW72,(($AI72-SUM($AO73:AV73))*$AM72)),0)</f>
        <v>0</v>
      </c>
      <c r="AX73" s="591">
        <f>IF(AX$20&lt;=$AK72,IF(($AI72-SUM($AO73:AW73))*$AM72&lt;AX72,AX72,(($AI72-SUM($AO73:AW73))*$AM72)),0)</f>
        <v>0</v>
      </c>
      <c r="AY73" s="591">
        <f>IF(AY$20&lt;=$AK72,IF(($AI72-SUM($AO73:AX73))*$AM72&lt;AY72,AY72,(($AI72-SUM($AO73:AX73))*$AM72)),0)</f>
        <v>0</v>
      </c>
      <c r="AZ73" s="591">
        <f>IF(AZ$20&lt;=$AK72,IF(($AI72-SUM($AO73:AY73))*$AM72&lt;AZ72,AZ72,(($AI72-SUM($AO73:AY73))*$AM72)),0)</f>
        <v>0</v>
      </c>
      <c r="BA73" s="591">
        <f>IF(BA$20&lt;=$AK72,IF(($AI72-SUM($AO73:AZ73))*$AM72&lt;BA72,BA72,(($AI72-SUM($AO73:AZ73))*$AM72)),0)</f>
        <v>0</v>
      </c>
      <c r="BB73" s="591">
        <f>IF(BB$20&lt;=$AK72,IF(($AI72-SUM($AO73:BA73))*$AM72&lt;BB72,BB72,(($AI72-SUM($AO73:BA73))*$AM72)),0)</f>
        <v>0</v>
      </c>
      <c r="BC73" s="591">
        <f>IF(BC$20&lt;=$AK72,IF(($AI72-SUM($AO73:BB73))*$AM72&lt;BC72,BC72,(($AI72-SUM($AO73:BB73))*$AM72)),0)</f>
        <v>0</v>
      </c>
      <c r="BD73" s="591">
        <f>IF(BD$20&lt;=$AK72,IF(($AI72-SUM($AO73:BC73))*$AM72&lt;BD72,BD72,(($AI72-SUM($AO73:BC73))*$AM72)),0)</f>
        <v>0</v>
      </c>
      <c r="BE73" s="591">
        <f>IF(BE$20&lt;=$AK72,IF(($AI72-SUM($AO73:BD73))*$AM72&lt;BE72,BE72,(($AI72-SUM($AO73:BD73))*$AM72)),0)</f>
        <v>0</v>
      </c>
      <c r="BF73" s="591">
        <f>IF(BF$20&lt;=$AK72,IF(($AI72-SUM($AO73:BE73))*$AM72&lt;BF72,BF72,(($AI72-SUM($AO73:BE73))*$AM72)),0)</f>
        <v>0</v>
      </c>
      <c r="BG73" s="591">
        <f>IF(BG$20&lt;=$AK72,IF(($AI72-SUM($AO73:BF73))*$AM72&lt;BG72,BG72,(($AI72-SUM($AO73:BF73))*$AM72)),0)</f>
        <v>0</v>
      </c>
      <c r="BH73" s="591">
        <f>IF(BH$20&lt;=$AK72,IF(($AI72-SUM($AO73:BG73))*$AM72&lt;BH72,BH72,(($AI72-SUM($AO73:BG73))*$AM72)),0)</f>
        <v>0</v>
      </c>
      <c r="BI73" s="591">
        <f>SUM(AO73:BH73)</f>
        <v>0</v>
      </c>
      <c r="BJ73" s="606"/>
    </row>
    <row r="74" spans="33:62" ht="15" customHeight="1">
      <c r="AG74" s="649"/>
      <c r="AH74" s="758"/>
      <c r="AI74" s="759"/>
      <c r="AJ74" s="760"/>
      <c r="AK74" s="761"/>
      <c r="AL74" s="758"/>
      <c r="AM74" s="760"/>
      <c r="AN74" s="590" t="s">
        <v>277</v>
      </c>
      <c r="AO74" s="591">
        <f>AO73/12</f>
        <v>0</v>
      </c>
      <c r="AP74" s="591">
        <f t="shared" ref="AP74:BH74" si="59">AP73/12</f>
        <v>0</v>
      </c>
      <c r="AQ74" s="591">
        <f t="shared" si="59"/>
        <v>0</v>
      </c>
      <c r="AR74" s="591">
        <f t="shared" si="59"/>
        <v>0</v>
      </c>
      <c r="AS74" s="591">
        <f t="shared" si="59"/>
        <v>0</v>
      </c>
      <c r="AT74" s="591">
        <f t="shared" si="59"/>
        <v>0</v>
      </c>
      <c r="AU74" s="591">
        <f t="shared" si="59"/>
        <v>0</v>
      </c>
      <c r="AV74" s="591">
        <f t="shared" si="59"/>
        <v>0</v>
      </c>
      <c r="AW74" s="591">
        <f t="shared" si="59"/>
        <v>0</v>
      </c>
      <c r="AX74" s="591">
        <f t="shared" si="59"/>
        <v>0</v>
      </c>
      <c r="AY74" s="591">
        <f t="shared" si="59"/>
        <v>0</v>
      </c>
      <c r="AZ74" s="591">
        <f t="shared" si="59"/>
        <v>0</v>
      </c>
      <c r="BA74" s="591">
        <f t="shared" si="59"/>
        <v>0</v>
      </c>
      <c r="BB74" s="591">
        <f t="shared" si="59"/>
        <v>0</v>
      </c>
      <c r="BC74" s="591">
        <f t="shared" si="59"/>
        <v>0</v>
      </c>
      <c r="BD74" s="591">
        <f t="shared" si="59"/>
        <v>0</v>
      </c>
      <c r="BE74" s="591">
        <f t="shared" si="59"/>
        <v>0</v>
      </c>
      <c r="BF74" s="591">
        <f t="shared" si="59"/>
        <v>0</v>
      </c>
      <c r="BG74" s="591">
        <f t="shared" si="59"/>
        <v>0</v>
      </c>
      <c r="BH74" s="591">
        <f t="shared" si="59"/>
        <v>0</v>
      </c>
      <c r="BI74" s="594"/>
      <c r="BJ74" s="606"/>
    </row>
    <row r="75" spans="33:62" ht="15" customHeight="1">
      <c r="AG75" s="649"/>
      <c r="AH75" s="758">
        <v>19</v>
      </c>
      <c r="AI75" s="759">
        <f>H36</f>
        <v>0</v>
      </c>
      <c r="AJ75" s="760">
        <f>I36</f>
        <v>0</v>
      </c>
      <c r="AK75" s="761">
        <f t="shared" ref="AK75" si="60">IF(AJ75=0,0,ROUNDUP(100/AJ75/100,2))</f>
        <v>0</v>
      </c>
      <c r="AL75" s="758">
        <f t="shared" ref="AL75" si="61">IF(AND(AK75&gt;=1,AK75&lt;=4),1.5,IF(AND(AK75&gt;4,AK75&lt;=6),2,2.5))</f>
        <v>2.5</v>
      </c>
      <c r="AM75" s="760">
        <f>AJ75*AL75</f>
        <v>0</v>
      </c>
      <c r="AN75" s="590" t="s">
        <v>274</v>
      </c>
      <c r="AO75" s="591" t="str">
        <f>IF(AK75=0,"",AI75/AK75)</f>
        <v/>
      </c>
      <c r="AP75" s="591" t="str">
        <f>IF($AK75-AP$20&lt;0,"",($AI75-$AO76)/($AK75-AO$20))</f>
        <v/>
      </c>
      <c r="AQ75" s="591" t="str">
        <f>IF($AK75-AQ$20&lt;0,"",($AI75-SUM($AO76:AP76))/($AK75-AP$20))</f>
        <v/>
      </c>
      <c r="AR75" s="591" t="str">
        <f>IF($AK75-AR$20&lt;0,"",($AI75-SUM($AO76:AQ76))/($AK75-AQ$20))</f>
        <v/>
      </c>
      <c r="AS75" s="591" t="str">
        <f>IF($AK75-AS$20&lt;0,"",($AI75-SUM($AO76:AR76))/($AK75-AR$20))</f>
        <v/>
      </c>
      <c r="AT75" s="591" t="str">
        <f>IF($AK75-AT$20&lt;0,"",($AI75-SUM($AO76:AS76))/($AK75-AS$20))</f>
        <v/>
      </c>
      <c r="AU75" s="591" t="str">
        <f>IF($AK75-AU$20&lt;0,"",($AI75-SUM($AO76:AT76))/($AK75-AT$20))</f>
        <v/>
      </c>
      <c r="AV75" s="591" t="str">
        <f>IF($AK75-AV$20&lt;0,"",($AI75-SUM($AO76:AU76))/($AK75-AU$20))</f>
        <v/>
      </c>
      <c r="AW75" s="591" t="str">
        <f>IF($AK75-AW$20&lt;0,"",($AI75-SUM($AO76:AV76))/($AK75-AV$20))</f>
        <v/>
      </c>
      <c r="AX75" s="591" t="str">
        <f>IF($AK75-AX$20&lt;0,"",($AI75-SUM($AO76:AW76))/($AK75-AW$20))</f>
        <v/>
      </c>
      <c r="AY75" s="591" t="str">
        <f>IF($AK75-AY$20&lt;0,"",($AI75-SUM($AO76:AX76))/($AK75-AX$20))</f>
        <v/>
      </c>
      <c r="AZ75" s="591" t="str">
        <f>IF($AK75-AZ$20&lt;0,"",($AI75-SUM($AO76:AY76))/($AK75-AY$20))</f>
        <v/>
      </c>
      <c r="BA75" s="591" t="str">
        <f>IF($AK75-BA$20&lt;0,"",($AI75-SUM($AO76:AZ76))/($AK75-AZ$20))</f>
        <v/>
      </c>
      <c r="BB75" s="591" t="str">
        <f>IF($AK75-BB$20&lt;0,"",($AI75-SUM($AO76:BA76))/($AK75-BA$20))</f>
        <v/>
      </c>
      <c r="BC75" s="591" t="str">
        <f>IF($AK75-BC$20&lt;0,"",($AI75-SUM($AO76:BB76))/($AK75-BB$20))</f>
        <v/>
      </c>
      <c r="BD75" s="591" t="str">
        <f>IF($AK75-BD$20&lt;0,"",($AI75-SUM($AO76:BC76))/($AK75-BC$20))</f>
        <v/>
      </c>
      <c r="BE75" s="591" t="str">
        <f>IF($AK75-BE$20&lt;0,"",($AI75-SUM($AO76:BD76))/($AK75-BD$20))</f>
        <v/>
      </c>
      <c r="BF75" s="591" t="str">
        <f>IF($AK75-BF$20&lt;0,"",($AI75-SUM($AO76:BE76))/($AK75-BE$20))</f>
        <v/>
      </c>
      <c r="BG75" s="591" t="str">
        <f>IF($AK75-BG$20&lt;0,"",($AI75-SUM($AO76:BF76))/($AK75-BF$20))</f>
        <v/>
      </c>
      <c r="BH75" s="591" t="str">
        <f>IF($AK75-BH$20&lt;0,"",($AI75-SUM($AO76:BG76))/($AK75-BG$20))</f>
        <v/>
      </c>
      <c r="BI75" s="592"/>
      <c r="BJ75" s="606"/>
    </row>
    <row r="76" spans="33:62" ht="15" customHeight="1">
      <c r="AG76" s="649"/>
      <c r="AH76" s="758"/>
      <c r="AI76" s="759"/>
      <c r="AJ76" s="760"/>
      <c r="AK76" s="761"/>
      <c r="AL76" s="758"/>
      <c r="AM76" s="760"/>
      <c r="AN76" s="590" t="s">
        <v>276</v>
      </c>
      <c r="AO76" s="591">
        <f>IF(AO$20&lt;=$AK75,AI75*AM75,0)</f>
        <v>0</v>
      </c>
      <c r="AP76" s="591">
        <f>IF(AP$20&lt;=$AK75,IF(($AI75-$AO76)*$AM75&lt;AP75,AP75,(AI75-AO76)*AM75),0)</f>
        <v>0</v>
      </c>
      <c r="AQ76" s="591">
        <f>IF(AQ$20&lt;=$AK75,IF(($AI75-SUM($AO76:AP76))*$AM75&lt;AQ75,AQ75,(($AI75-SUM($AO76:AP76))*$AM75)),0)</f>
        <v>0</v>
      </c>
      <c r="AR76" s="591">
        <f>IF(AR$20&lt;=$AK75,IF(($AI75-SUM($AO76:AQ76))*$AM75&lt;AR75,AR75,(($AI75-SUM($AO76:AQ76))*$AM75)),0)</f>
        <v>0</v>
      </c>
      <c r="AS76" s="591">
        <f>IF(AS$20&lt;=$AK75,IF(($AI75-SUM($AO76:AR76))*$AM75&lt;AS75,AS75,(($AI75-SUM($AO76:AR76))*$AM75)),0)</f>
        <v>0</v>
      </c>
      <c r="AT76" s="591">
        <f>IF(AT$20&lt;=$AK75,IF(($AI75-SUM($AO76:AS76))*$AM75&lt;AT75,AT75,(($AI75-SUM($AO76:AS76))*$AM75)),0)</f>
        <v>0</v>
      </c>
      <c r="AU76" s="591">
        <f>IF(AU$20&lt;=$AK75,IF(($AI75-SUM($AO76:AT76))*$AM75&lt;AU75,AU75,(($AI75-SUM($AO76:AT76))*$AM75)),0)</f>
        <v>0</v>
      </c>
      <c r="AV76" s="591">
        <f>IF(AV$20&lt;=$AK75,IF(($AI75-SUM($AO76:AU76))*$AM75&lt;AV75,AV75,(($AI75-SUM($AO76:AU76))*$AM75)),0)</f>
        <v>0</v>
      </c>
      <c r="AW76" s="591">
        <f>IF(AW$20&lt;=$AK75,IF(($AI75-SUM($AO76:AV76))*$AM75&lt;AW75,AW75,(($AI75-SUM($AO76:AV76))*$AM75)),0)</f>
        <v>0</v>
      </c>
      <c r="AX76" s="591">
        <f>IF(AX$20&lt;=$AK75,IF(($AI75-SUM($AO76:AW76))*$AM75&lt;AX75,AX75,(($AI75-SUM($AO76:AW76))*$AM75)),0)</f>
        <v>0</v>
      </c>
      <c r="AY76" s="591">
        <f>IF(AY$20&lt;=$AK75,IF(($AI75-SUM($AO76:AX76))*$AM75&lt;AY75,AY75,(($AI75-SUM($AO76:AX76))*$AM75)),0)</f>
        <v>0</v>
      </c>
      <c r="AZ76" s="591">
        <f>IF(AZ$20&lt;=$AK75,IF(($AI75-SUM($AO76:AY76))*$AM75&lt;AZ75,AZ75,(($AI75-SUM($AO76:AY76))*$AM75)),0)</f>
        <v>0</v>
      </c>
      <c r="BA76" s="591">
        <f>IF(BA$20&lt;=$AK75,IF(($AI75-SUM($AO76:AZ76))*$AM75&lt;BA75,BA75,(($AI75-SUM($AO76:AZ76))*$AM75)),0)</f>
        <v>0</v>
      </c>
      <c r="BB76" s="591">
        <f>IF(BB$20&lt;=$AK75,IF(($AI75-SUM($AO76:BA76))*$AM75&lt;BB75,BB75,(($AI75-SUM($AO76:BA76))*$AM75)),0)</f>
        <v>0</v>
      </c>
      <c r="BC76" s="591">
        <f>IF(BC$20&lt;=$AK75,IF(($AI75-SUM($AO76:BB76))*$AM75&lt;BC75,BC75,(($AI75-SUM($AO76:BB76))*$AM75)),0)</f>
        <v>0</v>
      </c>
      <c r="BD76" s="591">
        <f>IF(BD$20&lt;=$AK75,IF(($AI75-SUM($AO76:BC76))*$AM75&lt;BD75,BD75,(($AI75-SUM($AO76:BC76))*$AM75)),0)</f>
        <v>0</v>
      </c>
      <c r="BE76" s="591">
        <f>IF(BE$20&lt;=$AK75,IF(($AI75-SUM($AO76:BD76))*$AM75&lt;BE75,BE75,(($AI75-SUM($AO76:BD76))*$AM75)),0)</f>
        <v>0</v>
      </c>
      <c r="BF76" s="591">
        <f>IF(BF$20&lt;=$AK75,IF(($AI75-SUM($AO76:BE76))*$AM75&lt;BF75,BF75,(($AI75-SUM($AO76:BE76))*$AM75)),0)</f>
        <v>0</v>
      </c>
      <c r="BG76" s="591">
        <f>IF(BG$20&lt;=$AK75,IF(($AI75-SUM($AO76:BF76))*$AM75&lt;BG75,BG75,(($AI75-SUM($AO76:BF76))*$AM75)),0)</f>
        <v>0</v>
      </c>
      <c r="BH76" s="591">
        <f>IF(BH$20&lt;=$AK75,IF(($AI75-SUM($AO76:BG76))*$AM75&lt;BH75,BH75,(($AI75-SUM($AO76:BG76))*$AM75)),0)</f>
        <v>0</v>
      </c>
      <c r="BI76" s="591">
        <f>SUM(AO76:BH76)</f>
        <v>0</v>
      </c>
      <c r="BJ76" s="606"/>
    </row>
    <row r="77" spans="33:62" ht="15" customHeight="1">
      <c r="AG77" s="649"/>
      <c r="AH77" s="758"/>
      <c r="AI77" s="759"/>
      <c r="AJ77" s="760"/>
      <c r="AK77" s="761"/>
      <c r="AL77" s="758"/>
      <c r="AM77" s="760"/>
      <c r="AN77" s="590" t="s">
        <v>277</v>
      </c>
      <c r="AO77" s="591">
        <f>AO76/12</f>
        <v>0</v>
      </c>
      <c r="AP77" s="591">
        <f t="shared" ref="AP77:BH77" si="62">AP76/12</f>
        <v>0</v>
      </c>
      <c r="AQ77" s="591">
        <f t="shared" si="62"/>
        <v>0</v>
      </c>
      <c r="AR77" s="591">
        <f t="shared" si="62"/>
        <v>0</v>
      </c>
      <c r="AS77" s="591">
        <f t="shared" si="62"/>
        <v>0</v>
      </c>
      <c r="AT77" s="591">
        <f t="shared" si="62"/>
        <v>0</v>
      </c>
      <c r="AU77" s="591">
        <f t="shared" si="62"/>
        <v>0</v>
      </c>
      <c r="AV77" s="591">
        <f t="shared" si="62"/>
        <v>0</v>
      </c>
      <c r="AW77" s="591">
        <f t="shared" si="62"/>
        <v>0</v>
      </c>
      <c r="AX77" s="591">
        <f t="shared" si="62"/>
        <v>0</v>
      </c>
      <c r="AY77" s="591">
        <f t="shared" si="62"/>
        <v>0</v>
      </c>
      <c r="AZ77" s="591">
        <f t="shared" si="62"/>
        <v>0</v>
      </c>
      <c r="BA77" s="591">
        <f t="shared" si="62"/>
        <v>0</v>
      </c>
      <c r="BB77" s="591">
        <f t="shared" si="62"/>
        <v>0</v>
      </c>
      <c r="BC77" s="591">
        <f t="shared" si="62"/>
        <v>0</v>
      </c>
      <c r="BD77" s="591">
        <f t="shared" si="62"/>
        <v>0</v>
      </c>
      <c r="BE77" s="591">
        <f t="shared" si="62"/>
        <v>0</v>
      </c>
      <c r="BF77" s="591">
        <f t="shared" si="62"/>
        <v>0</v>
      </c>
      <c r="BG77" s="591">
        <f t="shared" si="62"/>
        <v>0</v>
      </c>
      <c r="BH77" s="591">
        <f t="shared" si="62"/>
        <v>0</v>
      </c>
      <c r="BI77" s="594"/>
      <c r="BJ77" s="606"/>
    </row>
    <row r="78" spans="33:62" ht="15" customHeight="1">
      <c r="AG78" s="649"/>
      <c r="AH78" s="758">
        <v>20</v>
      </c>
      <c r="AI78" s="759">
        <f>H37</f>
        <v>0</v>
      </c>
      <c r="AJ78" s="760">
        <f>I37</f>
        <v>0</v>
      </c>
      <c r="AK78" s="761">
        <f t="shared" ref="AK78" si="63">IF(AJ78=0,0,ROUNDUP(100/AJ78/100,2))</f>
        <v>0</v>
      </c>
      <c r="AL78" s="758">
        <f>IF(AND(AK78&gt;=1,AK78&lt;=4),1.5,IF(AND(AK78&gt;4,AK78&lt;=6),2,2.5))</f>
        <v>2.5</v>
      </c>
      <c r="AM78" s="760">
        <f>AJ78*AL78</f>
        <v>0</v>
      </c>
      <c r="AN78" s="590" t="s">
        <v>274</v>
      </c>
      <c r="AO78" s="591" t="str">
        <f>IF(AK78=0,"",AI78/AK78)</f>
        <v/>
      </c>
      <c r="AP78" s="591" t="str">
        <f>IF($AK78-AP$20&lt;0,"",($AI78-$AO79)/($AK78-AO$20))</f>
        <v/>
      </c>
      <c r="AQ78" s="591" t="str">
        <f>IF($AK78-AQ$20&lt;0,"",($AI78-SUM($AO79:AP79))/($AK78-AP$20))</f>
        <v/>
      </c>
      <c r="AR78" s="591" t="str">
        <f>IF($AK78-AR$20&lt;0,"",($AI78-SUM($AO79:AQ79))/($AK78-AQ$20))</f>
        <v/>
      </c>
      <c r="AS78" s="591" t="str">
        <f>IF($AK78-AS$20&lt;0,"",($AI78-SUM($AO79:AR79))/($AK78-AR$20))</f>
        <v/>
      </c>
      <c r="AT78" s="591" t="str">
        <f>IF($AK78-AT$20&lt;0,"",($AI78-SUM($AO79:AS79))/($AK78-AS$20))</f>
        <v/>
      </c>
      <c r="AU78" s="591" t="str">
        <f>IF($AK78-AU$20&lt;0,"",($AI78-SUM($AO79:AT79))/($AK78-AT$20))</f>
        <v/>
      </c>
      <c r="AV78" s="591" t="str">
        <f>IF($AK78-AV$20&lt;0,"",($AI78-SUM($AO79:AU79))/($AK78-AU$20))</f>
        <v/>
      </c>
      <c r="AW78" s="591" t="str">
        <f>IF($AK78-AW$20&lt;0,"",($AI78-SUM($AO79:AV79))/($AK78-AV$20))</f>
        <v/>
      </c>
      <c r="AX78" s="591" t="str">
        <f>IF($AK78-AX$20&lt;0,"",($AI78-SUM($AO79:AW79))/($AK78-AW$20))</f>
        <v/>
      </c>
      <c r="AY78" s="591" t="str">
        <f>IF($AK78-AY$20&lt;0,"",($AI78-SUM($AO79:AX79))/($AK78-AX$20))</f>
        <v/>
      </c>
      <c r="AZ78" s="591" t="str">
        <f>IF($AK78-AZ$20&lt;0,"",($AI78-SUM($AO79:AY79))/($AK78-AY$20))</f>
        <v/>
      </c>
      <c r="BA78" s="591" t="str">
        <f>IF($AK78-BA$20&lt;0,"",($AI78-SUM($AO79:AZ79))/($AK78-AZ$20))</f>
        <v/>
      </c>
      <c r="BB78" s="591" t="str">
        <f>IF($AK78-BB$20&lt;0,"",($AI78-SUM($AO79:BA79))/($AK78-BA$20))</f>
        <v/>
      </c>
      <c r="BC78" s="591" t="str">
        <f>IF($AK78-BC$20&lt;0,"",($AI78-SUM($AO79:BB79))/($AK78-BB$20))</f>
        <v/>
      </c>
      <c r="BD78" s="591" t="str">
        <f>IF($AK78-BD$20&lt;0,"",($AI78-SUM($AO79:BC79))/($AK78-BC$20))</f>
        <v/>
      </c>
      <c r="BE78" s="591" t="str">
        <f>IF($AK78-BE$20&lt;0,"",($AI78-SUM($AO79:BD79))/($AK78-BD$20))</f>
        <v/>
      </c>
      <c r="BF78" s="591" t="str">
        <f>IF($AK78-BF$20&lt;0,"",($AI78-SUM($AO79:BE79))/($AK78-BE$20))</f>
        <v/>
      </c>
      <c r="BG78" s="591" t="str">
        <f>IF($AK78-BG$20&lt;0,"",($AI78-SUM($AO79:BF79))/($AK78-BF$20))</f>
        <v/>
      </c>
      <c r="BH78" s="591" t="str">
        <f>IF($AK78-BH$20&lt;0,"",($AI78-SUM($AO79:BG79))/($AK78-BG$20))</f>
        <v/>
      </c>
      <c r="BI78" s="592"/>
      <c r="BJ78" s="606"/>
    </row>
    <row r="79" spans="33:62" ht="15" customHeight="1">
      <c r="AG79" s="649"/>
      <c r="AH79" s="758"/>
      <c r="AI79" s="759"/>
      <c r="AJ79" s="760"/>
      <c r="AK79" s="761"/>
      <c r="AL79" s="758"/>
      <c r="AM79" s="760"/>
      <c r="AN79" s="590" t="s">
        <v>276</v>
      </c>
      <c r="AO79" s="591">
        <f>IF(AO$20&lt;=$AK78,AI78*AM78,0)</f>
        <v>0</v>
      </c>
      <c r="AP79" s="591">
        <f>IF(AP$20&lt;=$AK78,IF(($AI78-$AO79)*$AM78&lt;AP78,AP78,(AI78-AO79)*AM78),0)</f>
        <v>0</v>
      </c>
      <c r="AQ79" s="591">
        <f>IF(AQ$20&lt;=$AK78,IF(($AI78-SUM($AO79:AP79))*$AM78&lt;AQ78,AQ78,(($AI78-SUM($AO79:AP79))*$AM78)),0)</f>
        <v>0</v>
      </c>
      <c r="AR79" s="591">
        <f>IF(AR$20&lt;=$AK78,IF(($AI78-SUM($AO79:AQ79))*$AM78&lt;AR78,AR78,(($AI78-SUM($AO79:AQ79))*$AM78)),0)</f>
        <v>0</v>
      </c>
      <c r="AS79" s="591">
        <f>IF(AS$20&lt;=$AK78,IF(($AI78-SUM($AO79:AR79))*$AM78&lt;AS78,AS78,(($AI78-SUM($AO79:AR79))*$AM78)),0)</f>
        <v>0</v>
      </c>
      <c r="AT79" s="591">
        <f>IF(AT$20&lt;=$AK78,IF(($AI78-SUM($AO79:AS79))*$AM78&lt;AT78,AT78,(($AI78-SUM($AO79:AS79))*$AM78)),0)</f>
        <v>0</v>
      </c>
      <c r="AU79" s="591">
        <f>IF(AU$20&lt;=$AK78,IF(($AI78-SUM($AO79:AT79))*$AM78&lt;AU78,AU78,(($AI78-SUM($AO79:AT79))*$AM78)),0)</f>
        <v>0</v>
      </c>
      <c r="AV79" s="591">
        <f>IF(AV$20&lt;=$AK78,IF(($AI78-SUM($AO79:AU79))*$AM78&lt;AV78,AV78,(($AI78-SUM($AO79:AU79))*$AM78)),0)</f>
        <v>0</v>
      </c>
      <c r="AW79" s="591">
        <f>IF(AW$20&lt;=$AK78,IF(($AI78-SUM($AO79:AV79))*$AM78&lt;AW78,AW78,(($AI78-SUM($AO79:AV79))*$AM78)),0)</f>
        <v>0</v>
      </c>
      <c r="AX79" s="591">
        <f>IF(AX$20&lt;=$AK78,IF(($AI78-SUM($AO79:AW79))*$AM78&lt;AX78,AX78,(($AI78-SUM($AO79:AW79))*$AM78)),0)</f>
        <v>0</v>
      </c>
      <c r="AY79" s="591">
        <f>IF(AY$20&lt;=$AK78,IF(($AI78-SUM($AO79:AX79))*$AM78&lt;AY78,AY78,(($AI78-SUM($AO79:AX79))*$AM78)),0)</f>
        <v>0</v>
      </c>
      <c r="AZ79" s="591">
        <f>IF(AZ$20&lt;=$AK78,IF(($AI78-SUM($AO79:AY79))*$AM78&lt;AZ78,AZ78,(($AI78-SUM($AO79:AY79))*$AM78)),0)</f>
        <v>0</v>
      </c>
      <c r="BA79" s="591">
        <f>IF(BA$20&lt;=$AK78,IF(($AI78-SUM($AO79:AZ79))*$AM78&lt;BA78,BA78,(($AI78-SUM($AO79:AZ79))*$AM78)),0)</f>
        <v>0</v>
      </c>
      <c r="BB79" s="591">
        <f>IF(BB$20&lt;=$AK78,IF(($AI78-SUM($AO79:BA79))*$AM78&lt;BB78,BB78,(($AI78-SUM($AO79:BA79))*$AM78)),0)</f>
        <v>0</v>
      </c>
      <c r="BC79" s="591">
        <f>IF(BC$20&lt;=$AK78,IF(($AI78-SUM($AO79:BB79))*$AM78&lt;BC78,BC78,(($AI78-SUM($AO79:BB79))*$AM78)),0)</f>
        <v>0</v>
      </c>
      <c r="BD79" s="591">
        <f>IF(BD$20&lt;=$AK78,IF(($AI78-SUM($AO79:BC79))*$AM78&lt;BD78,BD78,(($AI78-SUM($AO79:BC79))*$AM78)),0)</f>
        <v>0</v>
      </c>
      <c r="BE79" s="591">
        <f>IF(BE$20&lt;=$AK78,IF(($AI78-SUM($AO79:BD79))*$AM78&lt;BE78,BE78,(($AI78-SUM($AO79:BD79))*$AM78)),0)</f>
        <v>0</v>
      </c>
      <c r="BF79" s="591">
        <f>IF(BF$20&lt;=$AK78,IF(($AI78-SUM($AO79:BE79))*$AM78&lt;BF78,BF78,(($AI78-SUM($AO79:BE79))*$AM78)),0)</f>
        <v>0</v>
      </c>
      <c r="BG79" s="591">
        <f>IF(BG$20&lt;=$AK78,IF(($AI78-SUM($AO79:BF79))*$AM78&lt;BG78,BG78,(($AI78-SUM($AO79:BF79))*$AM78)),0)</f>
        <v>0</v>
      </c>
      <c r="BH79" s="591">
        <f>IF(BH$20&lt;=$AK78,IF(($AI78-SUM($AO79:BG79))*$AM78&lt;BH78,BH78,(($AI78-SUM($AO79:BG79))*$AM78)),0)</f>
        <v>0</v>
      </c>
      <c r="BI79" s="591">
        <f>SUM(AO79:BH79)</f>
        <v>0</v>
      </c>
      <c r="BJ79" s="606"/>
    </row>
    <row r="80" spans="33:62" ht="15" customHeight="1">
      <c r="AG80" s="649"/>
      <c r="AH80" s="758"/>
      <c r="AI80" s="759"/>
      <c r="AJ80" s="760"/>
      <c r="AK80" s="761"/>
      <c r="AL80" s="758"/>
      <c r="AM80" s="760"/>
      <c r="AN80" s="590" t="s">
        <v>277</v>
      </c>
      <c r="AO80" s="591">
        <f>AO79/12</f>
        <v>0</v>
      </c>
      <c r="AP80" s="591">
        <f t="shared" ref="AP80:BH80" si="64">AP79/12</f>
        <v>0</v>
      </c>
      <c r="AQ80" s="591">
        <f t="shared" si="64"/>
        <v>0</v>
      </c>
      <c r="AR80" s="591">
        <f t="shared" si="64"/>
        <v>0</v>
      </c>
      <c r="AS80" s="591">
        <f t="shared" si="64"/>
        <v>0</v>
      </c>
      <c r="AT80" s="591">
        <f t="shared" si="64"/>
        <v>0</v>
      </c>
      <c r="AU80" s="591">
        <f t="shared" si="64"/>
        <v>0</v>
      </c>
      <c r="AV80" s="591">
        <f t="shared" si="64"/>
        <v>0</v>
      </c>
      <c r="AW80" s="591">
        <f t="shared" si="64"/>
        <v>0</v>
      </c>
      <c r="AX80" s="591">
        <f t="shared" si="64"/>
        <v>0</v>
      </c>
      <c r="AY80" s="591">
        <f t="shared" si="64"/>
        <v>0</v>
      </c>
      <c r="AZ80" s="591">
        <f t="shared" si="64"/>
        <v>0</v>
      </c>
      <c r="BA80" s="591">
        <f t="shared" si="64"/>
        <v>0</v>
      </c>
      <c r="BB80" s="591">
        <f t="shared" si="64"/>
        <v>0</v>
      </c>
      <c r="BC80" s="591">
        <f t="shared" si="64"/>
        <v>0</v>
      </c>
      <c r="BD80" s="591">
        <f t="shared" si="64"/>
        <v>0</v>
      </c>
      <c r="BE80" s="591">
        <f t="shared" si="64"/>
        <v>0</v>
      </c>
      <c r="BF80" s="591">
        <f t="shared" si="64"/>
        <v>0</v>
      </c>
      <c r="BG80" s="591">
        <f t="shared" si="64"/>
        <v>0</v>
      </c>
      <c r="BH80" s="591">
        <f t="shared" si="64"/>
        <v>0</v>
      </c>
      <c r="BI80" s="594"/>
      <c r="BJ80" s="606"/>
    </row>
    <row r="81" spans="33:62">
      <c r="AG81" s="649"/>
      <c r="AH81" s="758">
        <v>21</v>
      </c>
      <c r="AI81" s="759">
        <f>H38</f>
        <v>0</v>
      </c>
      <c r="AJ81" s="760">
        <f>I38</f>
        <v>0</v>
      </c>
      <c r="AK81" s="761">
        <f t="shared" ref="AK81" si="65">IF(AJ81=0,0,ROUNDUP(100/AJ81/100,2))</f>
        <v>0</v>
      </c>
      <c r="AL81" s="758">
        <f>IF(AND(AK81&gt;=1,AK81&lt;=4),1.5,IF(AND(AK81&gt;4,AK81&lt;=6),2,2.5))</f>
        <v>2.5</v>
      </c>
      <c r="AM81" s="760">
        <f>AJ81*AL81</f>
        <v>0</v>
      </c>
      <c r="AN81" s="590" t="s">
        <v>274</v>
      </c>
      <c r="AO81" s="591" t="str">
        <f>IF(AK81=0,"",AI81/AK81)</f>
        <v/>
      </c>
      <c r="AP81" s="591" t="str">
        <f>IF($AK81-AP$20&lt;0,"",($AI81-$AO82)/($AK81-AO$20))</f>
        <v/>
      </c>
      <c r="AQ81" s="591" t="str">
        <f>IF($AK81-AQ$20&lt;0,"",($AI81-SUM($AO82:AP82))/($AK81-AP$20))</f>
        <v/>
      </c>
      <c r="AR81" s="591" t="str">
        <f>IF($AK81-AR$20&lt;0,"",($AI81-SUM($AO82:AQ82))/($AK81-AQ$20))</f>
        <v/>
      </c>
      <c r="AS81" s="591" t="str">
        <f>IF($AK81-AS$20&lt;0,"",($AI81-SUM($AO82:AR82))/($AK81-AR$20))</f>
        <v/>
      </c>
      <c r="AT81" s="591" t="str">
        <f>IF($AK81-AT$20&lt;0,"",($AI81-SUM($AO82:AS82))/($AK81-AS$20))</f>
        <v/>
      </c>
      <c r="AU81" s="591" t="str">
        <f>IF($AK81-AU$20&lt;0,"",($AI81-SUM($AO82:AT82))/($AK81-AT$20))</f>
        <v/>
      </c>
      <c r="AV81" s="591" t="str">
        <f>IF($AK81-AV$20&lt;0,"",($AI81-SUM($AO82:AU82))/($AK81-AU$20))</f>
        <v/>
      </c>
      <c r="AW81" s="591" t="str">
        <f>IF($AK81-AW$20&lt;0,"",($AI81-SUM($AO82:AV82))/($AK81-AV$20))</f>
        <v/>
      </c>
      <c r="AX81" s="591" t="str">
        <f>IF($AK81-AX$20&lt;0,"",($AI81-SUM($AO82:AW82))/($AK81-AW$20))</f>
        <v/>
      </c>
      <c r="AY81" s="591" t="str">
        <f>IF($AK81-AY$20&lt;0,"",($AI81-SUM($AO82:AX82))/($AK81-AX$20))</f>
        <v/>
      </c>
      <c r="AZ81" s="591" t="str">
        <f>IF($AK81-AZ$20&lt;0,"",($AI81-SUM($AO82:AY82))/($AK81-AY$20))</f>
        <v/>
      </c>
      <c r="BA81" s="591" t="str">
        <f>IF($AK81-BA$20&lt;0,"",($AI81-SUM($AO82:AZ82))/($AK81-AZ$20))</f>
        <v/>
      </c>
      <c r="BB81" s="591" t="str">
        <f>IF($AK81-BB$20&lt;0,"",($AI81-SUM($AO82:BA82))/($AK81-BA$20))</f>
        <v/>
      </c>
      <c r="BC81" s="591" t="str">
        <f>IF($AK81-BC$20&lt;0,"",($AI81-SUM($AO82:BB82))/($AK81-BB$20))</f>
        <v/>
      </c>
      <c r="BD81" s="591" t="str">
        <f>IF($AK81-BD$20&lt;0,"",($AI81-SUM($AO82:BC82))/($AK81-BC$20))</f>
        <v/>
      </c>
      <c r="BE81" s="591" t="str">
        <f>IF($AK81-BE$20&lt;0,"",($AI81-SUM($AO82:BD82))/($AK81-BD$20))</f>
        <v/>
      </c>
      <c r="BF81" s="591" t="str">
        <f>IF($AK81-BF$20&lt;0,"",($AI81-SUM($AO82:BE82))/($AK81-BE$20))</f>
        <v/>
      </c>
      <c r="BG81" s="591" t="str">
        <f>IF($AK81-BG$20&lt;0,"",($AI81-SUM($AO82:BF82))/($AK81-BF$20))</f>
        <v/>
      </c>
      <c r="BH81" s="591" t="str">
        <f>IF($AK81-BH$20&lt;0,"",($AI81-SUM($AO82:BG82))/($AK81-BG$20))</f>
        <v/>
      </c>
      <c r="BI81" s="592"/>
      <c r="BJ81" s="606"/>
    </row>
    <row r="82" spans="33:62">
      <c r="AG82" s="649"/>
      <c r="AH82" s="758"/>
      <c r="AI82" s="759"/>
      <c r="AJ82" s="760"/>
      <c r="AK82" s="761"/>
      <c r="AL82" s="758"/>
      <c r="AM82" s="760"/>
      <c r="AN82" s="590" t="s">
        <v>276</v>
      </c>
      <c r="AO82" s="591">
        <f>IF(AO$20&lt;=$AK81,AI81*AM81,0)</f>
        <v>0</v>
      </c>
      <c r="AP82" s="591">
        <f>IF(AP$20&lt;=$AK81,IF(($AI81-$AO82)*$AM81&lt;AP81,AP81,(AI81-AO82)*AM81),0)</f>
        <v>0</v>
      </c>
      <c r="AQ82" s="591">
        <f>IF(AQ$20&lt;=$AK81,IF(($AI81-SUM($AO82:AP82))*$AM81&lt;AQ81,AQ81,(($AI81-SUM($AO82:AP82))*$AM81)),0)</f>
        <v>0</v>
      </c>
      <c r="AR82" s="591">
        <f>IF(AR$20&lt;=$AK81,IF(($AI81-SUM($AO82:AQ82))*$AM81&lt;AR81,AR81,(($AI81-SUM($AO82:AQ82))*$AM81)),0)</f>
        <v>0</v>
      </c>
      <c r="AS82" s="591">
        <f>IF(AS$20&lt;=$AK81,IF(($AI81-SUM($AO82:AR82))*$AM81&lt;AS81,AS81,(($AI81-SUM($AO82:AR82))*$AM81)),0)</f>
        <v>0</v>
      </c>
      <c r="AT82" s="591">
        <f>IF(AT$20&lt;=$AK81,IF(($AI81-SUM($AO82:AS82))*$AM81&lt;AT81,AT81,(($AI81-SUM($AO82:AS82))*$AM81)),0)</f>
        <v>0</v>
      </c>
      <c r="AU82" s="591">
        <f>IF(AU$20&lt;=$AK81,IF(($AI81-SUM($AO82:AT82))*$AM81&lt;AU81,AU81,(($AI81-SUM($AO82:AT82))*$AM81)),0)</f>
        <v>0</v>
      </c>
      <c r="AV82" s="591">
        <f>IF(AV$20&lt;=$AK81,IF(($AI81-SUM($AO82:AU82))*$AM81&lt;AV81,AV81,(($AI81-SUM($AO82:AU82))*$AM81)),0)</f>
        <v>0</v>
      </c>
      <c r="AW82" s="591">
        <f>IF(AW$20&lt;=$AK81,IF(($AI81-SUM($AO82:AV82))*$AM81&lt;AW81,AW81,(($AI81-SUM($AO82:AV82))*$AM81)),0)</f>
        <v>0</v>
      </c>
      <c r="AX82" s="591">
        <f>IF(AX$20&lt;=$AK81,IF(($AI81-SUM($AO82:AW82))*$AM81&lt;AX81,AX81,(($AI81-SUM($AO82:AW82))*$AM81)),0)</f>
        <v>0</v>
      </c>
      <c r="AY82" s="591">
        <f>IF(AY$20&lt;=$AK81,IF(($AI81-SUM($AO82:AX82))*$AM81&lt;AY81,AY81,(($AI81-SUM($AO82:AX82))*$AM81)),0)</f>
        <v>0</v>
      </c>
      <c r="AZ82" s="591">
        <f>IF(AZ$20&lt;=$AK81,IF(($AI81-SUM($AO82:AY82))*$AM81&lt;AZ81,AZ81,(($AI81-SUM($AO82:AY82))*$AM81)),0)</f>
        <v>0</v>
      </c>
      <c r="BA82" s="591">
        <f>IF(BA$20&lt;=$AK81,IF(($AI81-SUM($AO82:AZ82))*$AM81&lt;BA81,BA81,(($AI81-SUM($AO82:AZ82))*$AM81)),0)</f>
        <v>0</v>
      </c>
      <c r="BB82" s="591">
        <f>IF(BB$20&lt;=$AK81,IF(($AI81-SUM($AO82:BA82))*$AM81&lt;BB81,BB81,(($AI81-SUM($AO82:BA82))*$AM81)),0)</f>
        <v>0</v>
      </c>
      <c r="BC82" s="591">
        <f>IF(BC$20&lt;=$AK81,IF(($AI81-SUM($AO82:BB82))*$AM81&lt;BC81,BC81,(($AI81-SUM($AO82:BB82))*$AM81)),0)</f>
        <v>0</v>
      </c>
      <c r="BD82" s="591">
        <f>IF(BD$20&lt;=$AK81,IF(($AI81-SUM($AO82:BC82))*$AM81&lt;BD81,BD81,(($AI81-SUM($AO82:BC82))*$AM81)),0)</f>
        <v>0</v>
      </c>
      <c r="BE82" s="591">
        <f>IF(BE$20&lt;=$AK81,IF(($AI81-SUM($AO82:BD82))*$AM81&lt;BE81,BE81,(($AI81-SUM($AO82:BD82))*$AM81)),0)</f>
        <v>0</v>
      </c>
      <c r="BF82" s="591">
        <f>IF(BF$20&lt;=$AK81,IF(($AI81-SUM($AO82:BE82))*$AM81&lt;BF81,BF81,(($AI81-SUM($AO82:BE82))*$AM81)),0)</f>
        <v>0</v>
      </c>
      <c r="BG82" s="591">
        <f>IF(BG$20&lt;=$AK81,IF(($AI81-SUM($AO82:BF82))*$AM81&lt;BG81,BG81,(($AI81-SUM($AO82:BF82))*$AM81)),0)</f>
        <v>0</v>
      </c>
      <c r="BH82" s="591">
        <f>IF(BH$20&lt;=$AK81,IF(($AI81-SUM($AO82:BG82))*$AM81&lt;BH81,BH81,(($AI81-SUM($AO82:BG82))*$AM81)),0)</f>
        <v>0</v>
      </c>
      <c r="BI82" s="591">
        <f>SUM(AO82:BH82)</f>
        <v>0</v>
      </c>
      <c r="BJ82" s="606"/>
    </row>
    <row r="83" spans="33:62">
      <c r="AG83" s="649"/>
      <c r="AH83" s="758"/>
      <c r="AI83" s="759"/>
      <c r="AJ83" s="760"/>
      <c r="AK83" s="761"/>
      <c r="AL83" s="758"/>
      <c r="AM83" s="760"/>
      <c r="AN83" s="590" t="s">
        <v>277</v>
      </c>
      <c r="AO83" s="591">
        <f>AO82/12</f>
        <v>0</v>
      </c>
      <c r="AP83" s="591">
        <f t="shared" ref="AP83:BH83" si="66">AP82/12</f>
        <v>0</v>
      </c>
      <c r="AQ83" s="591">
        <f t="shared" si="66"/>
        <v>0</v>
      </c>
      <c r="AR83" s="591">
        <f t="shared" si="66"/>
        <v>0</v>
      </c>
      <c r="AS83" s="591">
        <f t="shared" si="66"/>
        <v>0</v>
      </c>
      <c r="AT83" s="591">
        <f t="shared" si="66"/>
        <v>0</v>
      </c>
      <c r="AU83" s="591">
        <f t="shared" si="66"/>
        <v>0</v>
      </c>
      <c r="AV83" s="591">
        <f t="shared" si="66"/>
        <v>0</v>
      </c>
      <c r="AW83" s="591">
        <f t="shared" si="66"/>
        <v>0</v>
      </c>
      <c r="AX83" s="591">
        <f t="shared" si="66"/>
        <v>0</v>
      </c>
      <c r="AY83" s="591">
        <f t="shared" si="66"/>
        <v>0</v>
      </c>
      <c r="AZ83" s="591">
        <f t="shared" si="66"/>
        <v>0</v>
      </c>
      <c r="BA83" s="591">
        <f t="shared" si="66"/>
        <v>0</v>
      </c>
      <c r="BB83" s="591">
        <f t="shared" si="66"/>
        <v>0</v>
      </c>
      <c r="BC83" s="591">
        <f t="shared" si="66"/>
        <v>0</v>
      </c>
      <c r="BD83" s="591">
        <f t="shared" si="66"/>
        <v>0</v>
      </c>
      <c r="BE83" s="591">
        <f t="shared" si="66"/>
        <v>0</v>
      </c>
      <c r="BF83" s="591">
        <f t="shared" si="66"/>
        <v>0</v>
      </c>
      <c r="BG83" s="591">
        <f t="shared" si="66"/>
        <v>0</v>
      </c>
      <c r="BH83" s="591">
        <f t="shared" si="66"/>
        <v>0</v>
      </c>
      <c r="BI83" s="594"/>
      <c r="BJ83" s="606"/>
    </row>
    <row r="84" spans="33:62">
      <c r="AH84" s="612"/>
      <c r="AI84" s="612"/>
      <c r="AJ84" s="612"/>
      <c r="AK84" s="612"/>
      <c r="AL84" s="612"/>
      <c r="AM84" s="612"/>
      <c r="AN84" s="612"/>
      <c r="AO84" s="612"/>
      <c r="AP84" s="612"/>
      <c r="AQ84" s="612"/>
      <c r="AR84" s="612"/>
      <c r="AS84" s="612"/>
      <c r="AT84" s="612"/>
      <c r="AU84" s="612"/>
      <c r="AV84" s="612"/>
      <c r="AW84" s="612"/>
      <c r="AX84" s="612"/>
      <c r="AY84" s="612"/>
      <c r="AZ84" s="612"/>
      <c r="BA84" s="612"/>
      <c r="BB84" s="612"/>
      <c r="BC84" s="612"/>
      <c r="BD84" s="612"/>
      <c r="BE84" s="612"/>
      <c r="BF84" s="612"/>
      <c r="BG84" s="612"/>
      <c r="BH84" s="612"/>
      <c r="BI84" s="612"/>
    </row>
  </sheetData>
  <mergeCells count="141">
    <mergeCell ref="E12:J14"/>
    <mergeCell ref="D16:D17"/>
    <mergeCell ref="E16:E17"/>
    <mergeCell ref="F16:F17"/>
    <mergeCell ref="G16:G17"/>
    <mergeCell ref="H16:H17"/>
    <mergeCell ref="I16:I17"/>
    <mergeCell ref="J16:L16"/>
    <mergeCell ref="AH21:AH23"/>
    <mergeCell ref="AI21:AI23"/>
    <mergeCell ref="AJ21:AJ23"/>
    <mergeCell ref="AK21:AK23"/>
    <mergeCell ref="AL21:AL23"/>
    <mergeCell ref="AM21:AM23"/>
    <mergeCell ref="M16:M17"/>
    <mergeCell ref="N16:N17"/>
    <mergeCell ref="O16:O17"/>
    <mergeCell ref="P16:P17"/>
    <mergeCell ref="Q16:Q17"/>
    <mergeCell ref="R17:U17"/>
    <mergeCell ref="AH27:AH29"/>
    <mergeCell ref="AI27:AI29"/>
    <mergeCell ref="AJ27:AJ29"/>
    <mergeCell ref="AK27:AK29"/>
    <mergeCell ref="AL27:AL29"/>
    <mergeCell ref="AM27:AM29"/>
    <mergeCell ref="AH24:AH26"/>
    <mergeCell ref="AI24:AI26"/>
    <mergeCell ref="AJ24:AJ26"/>
    <mergeCell ref="AK24:AK26"/>
    <mergeCell ref="AL24:AL26"/>
    <mergeCell ref="AM24:AM26"/>
    <mergeCell ref="AM36:AM38"/>
    <mergeCell ref="AH33:AH35"/>
    <mergeCell ref="AI33:AI35"/>
    <mergeCell ref="AJ33:AJ35"/>
    <mergeCell ref="AK33:AK35"/>
    <mergeCell ref="AL33:AL35"/>
    <mergeCell ref="AM33:AM35"/>
    <mergeCell ref="AH30:AH32"/>
    <mergeCell ref="AI30:AI32"/>
    <mergeCell ref="AJ30:AJ32"/>
    <mergeCell ref="AK30:AK32"/>
    <mergeCell ref="AL30:AL32"/>
    <mergeCell ref="AM30:AM32"/>
    <mergeCell ref="E39:M39"/>
    <mergeCell ref="AH39:AH41"/>
    <mergeCell ref="AI39:AI41"/>
    <mergeCell ref="AJ39:AJ41"/>
    <mergeCell ref="AK39:AK41"/>
    <mergeCell ref="AL39:AL41"/>
    <mergeCell ref="AH36:AH38"/>
    <mergeCell ref="AI36:AI38"/>
    <mergeCell ref="AJ36:AJ38"/>
    <mergeCell ref="AK36:AK38"/>
    <mergeCell ref="AL36:AL38"/>
    <mergeCell ref="AH45:AH47"/>
    <mergeCell ref="AI45:AI47"/>
    <mergeCell ref="AJ45:AJ47"/>
    <mergeCell ref="AK45:AK47"/>
    <mergeCell ref="AL45:AL47"/>
    <mergeCell ref="AM45:AM47"/>
    <mergeCell ref="AM39:AM41"/>
    <mergeCell ref="AH42:AH44"/>
    <mergeCell ref="AI42:AI44"/>
    <mergeCell ref="AJ42:AJ44"/>
    <mergeCell ref="AK42:AK44"/>
    <mergeCell ref="AL42:AL44"/>
    <mergeCell ref="AM42:AM44"/>
    <mergeCell ref="AH51:AH53"/>
    <mergeCell ref="AI51:AI53"/>
    <mergeCell ref="AJ51:AJ53"/>
    <mergeCell ref="AK51:AK53"/>
    <mergeCell ref="AL51:AL53"/>
    <mergeCell ref="AM51:AM53"/>
    <mergeCell ref="AH48:AH50"/>
    <mergeCell ref="AI48:AI50"/>
    <mergeCell ref="AJ48:AJ50"/>
    <mergeCell ref="AK48:AK50"/>
    <mergeCell ref="AL48:AL50"/>
    <mergeCell ref="AM48:AM50"/>
    <mergeCell ref="AH57:AH59"/>
    <mergeCell ref="AI57:AI59"/>
    <mergeCell ref="AJ57:AJ59"/>
    <mergeCell ref="AK57:AK59"/>
    <mergeCell ref="AL57:AL59"/>
    <mergeCell ref="AM57:AM59"/>
    <mergeCell ref="AH54:AH56"/>
    <mergeCell ref="AI54:AI56"/>
    <mergeCell ref="AJ54:AJ56"/>
    <mergeCell ref="AK54:AK56"/>
    <mergeCell ref="AL54:AL56"/>
    <mergeCell ref="AM54:AM56"/>
    <mergeCell ref="AH63:AH65"/>
    <mergeCell ref="AI63:AI65"/>
    <mergeCell ref="AJ63:AJ65"/>
    <mergeCell ref="AK63:AK65"/>
    <mergeCell ref="AL63:AL65"/>
    <mergeCell ref="AM63:AM65"/>
    <mergeCell ref="AH60:AH62"/>
    <mergeCell ref="AI60:AI62"/>
    <mergeCell ref="AJ60:AJ62"/>
    <mergeCell ref="AK60:AK62"/>
    <mergeCell ref="AL60:AL62"/>
    <mergeCell ref="AM60:AM62"/>
    <mergeCell ref="AH69:AH71"/>
    <mergeCell ref="AI69:AI71"/>
    <mergeCell ref="AJ69:AJ71"/>
    <mergeCell ref="AK69:AK71"/>
    <mergeCell ref="AL69:AL71"/>
    <mergeCell ref="AM69:AM71"/>
    <mergeCell ref="AH66:AH68"/>
    <mergeCell ref="AI66:AI68"/>
    <mergeCell ref="AJ66:AJ68"/>
    <mergeCell ref="AK66:AK68"/>
    <mergeCell ref="AL66:AL68"/>
    <mergeCell ref="AM66:AM68"/>
    <mergeCell ref="AH75:AH77"/>
    <mergeCell ref="AI75:AI77"/>
    <mergeCell ref="AJ75:AJ77"/>
    <mergeCell ref="AK75:AK77"/>
    <mergeCell ref="AL75:AL77"/>
    <mergeCell ref="AM75:AM77"/>
    <mergeCell ref="AH72:AH74"/>
    <mergeCell ref="AI72:AI74"/>
    <mergeCell ref="AJ72:AJ74"/>
    <mergeCell ref="AK72:AK74"/>
    <mergeCell ref="AL72:AL74"/>
    <mergeCell ref="AM72:AM74"/>
    <mergeCell ref="AH81:AH83"/>
    <mergeCell ref="AI81:AI83"/>
    <mergeCell ref="AJ81:AJ83"/>
    <mergeCell ref="AK81:AK83"/>
    <mergeCell ref="AL81:AL83"/>
    <mergeCell ref="AM81:AM83"/>
    <mergeCell ref="AH78:AH80"/>
    <mergeCell ref="AI78:AI80"/>
    <mergeCell ref="AJ78:AJ80"/>
    <mergeCell ref="AK78:AK80"/>
    <mergeCell ref="AL78:AL80"/>
    <mergeCell ref="AM78:AM80"/>
  </mergeCells>
  <conditionalFormatting sqref="J18:J38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  <pageSetUpPr fitToPage="1"/>
  </sheetPr>
  <dimension ref="A2:U49"/>
  <sheetViews>
    <sheetView showGridLines="0" tabSelected="1" zoomScale="118" zoomScaleNormal="118" workbookViewId="0">
      <selection activeCell="F5" sqref="F5"/>
    </sheetView>
  </sheetViews>
  <sheetFormatPr defaultColWidth="9.1796875" defaultRowHeight="12"/>
  <cols>
    <col min="1" max="1" width="2.7265625" style="8" customWidth="1"/>
    <col min="2" max="2" width="62" style="8" customWidth="1"/>
    <col min="3" max="3" width="19.26953125" style="8" customWidth="1"/>
    <col min="4" max="4" width="17.81640625" style="8" customWidth="1"/>
    <col min="5" max="5" width="18.81640625" style="8" customWidth="1"/>
    <col min="6" max="6" width="20.7265625" style="8" customWidth="1"/>
    <col min="7" max="7" width="17.54296875" style="8" customWidth="1"/>
    <col min="8" max="8" width="10.26953125" style="8" customWidth="1"/>
    <col min="9" max="9" width="7" style="9" customWidth="1"/>
    <col min="10" max="10" width="10.54296875" style="9" customWidth="1"/>
    <col min="11" max="11" width="13.7265625" style="9" customWidth="1"/>
    <col min="12" max="12" width="10.26953125" style="9" bestFit="1" customWidth="1"/>
    <col min="13" max="13" width="9.1796875" style="9"/>
    <col min="14" max="14" width="9.81640625" style="9" bestFit="1" customWidth="1"/>
    <col min="15" max="15" width="19.7265625" style="9" bestFit="1" customWidth="1"/>
    <col min="16" max="16" width="11.7265625" style="8" bestFit="1" customWidth="1"/>
    <col min="17" max="17" width="14.7265625" style="8" customWidth="1"/>
    <col min="18" max="20" width="9.1796875" style="8"/>
    <col min="21" max="21" width="14" style="8" customWidth="1"/>
    <col min="22" max="16384" width="9.1796875" style="8"/>
  </cols>
  <sheetData>
    <row r="2" spans="1:20" ht="14.5">
      <c r="B2" s="35"/>
    </row>
    <row r="3" spans="1:20" ht="14.5">
      <c r="B3" s="35"/>
    </row>
    <row r="4" spans="1:20" ht="14.5">
      <c r="B4" s="35"/>
    </row>
    <row r="5" spans="1:20" ht="14.5">
      <c r="B5" s="35"/>
    </row>
    <row r="6" spans="1:20" ht="14.5">
      <c r="B6" s="35"/>
    </row>
    <row r="7" spans="1:20" ht="14.5">
      <c r="B7" s="35"/>
    </row>
    <row r="8" spans="1:20" ht="23.5">
      <c r="B8" s="66" t="s">
        <v>218</v>
      </c>
    </row>
    <row r="10" spans="1:20" s="13" customFormat="1" ht="21">
      <c r="B10" s="769" t="s">
        <v>77</v>
      </c>
      <c r="C10" s="769"/>
      <c r="D10" s="769"/>
      <c r="E10" s="769"/>
      <c r="F10" s="769"/>
      <c r="G10" s="76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s="13" customFormat="1" ht="13.5" customHeight="1">
      <c r="A11" s="47"/>
      <c r="B11" s="23"/>
      <c r="C11" s="451"/>
      <c r="D11" s="451"/>
      <c r="E11" s="451"/>
      <c r="F11" s="451"/>
      <c r="G11" s="45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s="13" customFormat="1" ht="13.5" customHeight="1">
      <c r="A12" s="47"/>
      <c r="B12" s="23"/>
      <c r="C12" s="451"/>
      <c r="D12" s="451"/>
      <c r="E12" s="453"/>
      <c r="F12" s="454" t="s">
        <v>149</v>
      </c>
      <c r="G12" s="455">
        <f>+RH_ETI_QUADROS!G45</f>
        <v>580219.19999999995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s="13" customFormat="1" ht="13.5" customHeight="1">
      <c r="A13" s="47"/>
      <c r="B13" s="23"/>
      <c r="C13" s="451"/>
      <c r="D13" s="451"/>
      <c r="E13" s="453"/>
      <c r="F13" s="454" t="s">
        <v>209</v>
      </c>
      <c r="G13" s="455">
        <f>+RH_ETI_QUADROS!G47</f>
        <v>145054.79999999999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s="13" customFormat="1" ht="12.75" customHeight="1">
      <c r="B14" s="23"/>
      <c r="C14" s="48"/>
      <c r="D14" s="48"/>
      <c r="E14" s="456"/>
      <c r="F14" s="454" t="s">
        <v>210</v>
      </c>
      <c r="G14" s="457">
        <f>+G12*0.2</f>
        <v>116043.84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s="13" customFormat="1" ht="12.75" customHeight="1">
      <c r="B15" s="23"/>
      <c r="C15" s="48"/>
      <c r="D15" s="48"/>
      <c r="E15" s="456"/>
      <c r="F15" s="454" t="s">
        <v>217</v>
      </c>
      <c r="G15" s="457">
        <f>G22+G23</f>
        <v>148027.79999999999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s="13" customFormat="1" ht="12.75" customHeight="1">
      <c r="B16" s="23"/>
      <c r="C16" s="48"/>
      <c r="D16" s="48"/>
      <c r="E16" s="458"/>
      <c r="F16" s="459" t="s">
        <v>212</v>
      </c>
      <c r="G16" s="460">
        <f>+G12-G13-G14-G15</f>
        <v>171092.75999999995</v>
      </c>
      <c r="H16" s="16">
        <f>+G31+G30+G29+G28+G27+G26+G25+G24</f>
        <v>171092.76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1" s="13" customFormat="1" ht="12.75" customHeight="1" thickBot="1">
      <c r="B17" s="23"/>
      <c r="C17" s="48"/>
      <c r="D17" s="48"/>
      <c r="E17" s="456"/>
      <c r="F17" s="461"/>
      <c r="G17" s="45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2:21">
      <c r="B18" s="770" t="s">
        <v>79</v>
      </c>
      <c r="C18" s="772">
        <v>2026</v>
      </c>
      <c r="D18" s="772">
        <v>2027</v>
      </c>
      <c r="E18" s="772">
        <v>2028</v>
      </c>
      <c r="F18" s="772">
        <v>2029</v>
      </c>
      <c r="G18" s="774" t="s">
        <v>25</v>
      </c>
      <c r="I18" s="14"/>
      <c r="J18" s="15"/>
      <c r="K18" s="15"/>
      <c r="L18" s="15"/>
      <c r="M18" s="15"/>
      <c r="N18" s="15"/>
      <c r="U18" s="16"/>
    </row>
    <row r="19" spans="2:21" ht="15.75" customHeight="1" thickBot="1">
      <c r="B19" s="771"/>
      <c r="C19" s="773"/>
      <c r="D19" s="773"/>
      <c r="E19" s="773"/>
      <c r="F19" s="773"/>
      <c r="G19" s="775"/>
      <c r="I19" s="14"/>
      <c r="J19" s="15"/>
      <c r="K19" s="15"/>
      <c r="L19" s="15"/>
      <c r="M19" s="15"/>
      <c r="N19" s="15"/>
      <c r="U19" s="16"/>
    </row>
    <row r="20" spans="2:21">
      <c r="B20" s="462" t="s">
        <v>192</v>
      </c>
      <c r="C20" s="476">
        <f>SUM(C21:C23)</f>
        <v>1782</v>
      </c>
      <c r="D20" s="476">
        <f>SUM(D21:D23)</f>
        <v>100899.12</v>
      </c>
      <c r="E20" s="476">
        <f t="shared" ref="E20:F20" si="0">SUM(E21:E23)</f>
        <v>127305.12</v>
      </c>
      <c r="F20" s="476">
        <f t="shared" si="0"/>
        <v>63096.36</v>
      </c>
      <c r="G20" s="477">
        <f>SUM(G21:G23)</f>
        <v>293082.59999999998</v>
      </c>
      <c r="I20" s="14"/>
      <c r="J20" s="15"/>
      <c r="K20" s="15"/>
      <c r="L20" s="15"/>
      <c r="M20" s="15"/>
      <c r="N20" s="15"/>
      <c r="U20" s="16"/>
    </row>
    <row r="21" spans="2:21">
      <c r="B21" s="463" t="s">
        <v>148</v>
      </c>
      <c r="C21" s="478">
        <f>+RH_ETI_QUADROS!C47</f>
        <v>1782</v>
      </c>
      <c r="D21" s="478">
        <f>+RH_ETI_QUADROS!D47</f>
        <v>41688</v>
      </c>
      <c r="E21" s="478">
        <f>+RH_ETI_QUADROS!E47</f>
        <v>68094</v>
      </c>
      <c r="F21" s="478">
        <f>+RH_ETI_QUADROS!F47</f>
        <v>33490.800000000003</v>
      </c>
      <c r="G21" s="479">
        <f t="shared" ref="G21:G31" si="1">F21+E21+D21+C21</f>
        <v>145054.79999999999</v>
      </c>
      <c r="I21" s="14"/>
      <c r="J21" s="15"/>
      <c r="K21" s="15"/>
      <c r="L21" s="15"/>
      <c r="M21" s="15"/>
      <c r="N21" s="15"/>
      <c r="U21" s="16"/>
    </row>
    <row r="22" spans="2:21">
      <c r="B22" s="464" t="s">
        <v>81</v>
      </c>
      <c r="C22" s="480">
        <f>IF(RH_BOLSEIROS!$E$14="SIM",RH_BOLSEIROS!G24,0)</f>
        <v>0</v>
      </c>
      <c r="D22" s="480">
        <f>IF(RH_BOLSEIROS!$E$14="SIM",RH_BOLSEIROS!K24,0)</f>
        <v>59211.119999999995</v>
      </c>
      <c r="E22" s="480">
        <f>IF(RH_BOLSEIROS!$E$14="SIM",RH_BOLSEIROS!O24,0)</f>
        <v>59211.119999999995</v>
      </c>
      <c r="F22" s="480">
        <f>IF(RH_BOLSEIROS!$E$14="SIM",RH_BOLSEIROS!S24,0)</f>
        <v>29605.559999999998</v>
      </c>
      <c r="G22" s="481">
        <f t="shared" si="1"/>
        <v>148027.79999999999</v>
      </c>
      <c r="J22" s="17"/>
      <c r="K22" s="17"/>
      <c r="L22" s="17"/>
      <c r="M22" s="17"/>
      <c r="N22" s="11"/>
      <c r="O22" s="17"/>
      <c r="U22" s="18"/>
    </row>
    <row r="23" spans="2:21">
      <c r="B23" s="465" t="s">
        <v>82</v>
      </c>
      <c r="C23" s="482" t="str">
        <f>IF(RH_CONTRATOS!$E$14="SIM",RH_CONTRATOS!I24,"0")</f>
        <v>0</v>
      </c>
      <c r="D23" s="482" t="str">
        <f>IF(RH_CONTRATOS!$E$14="SIM",RH_CONTRATOS!O24,"0")</f>
        <v>0</v>
      </c>
      <c r="E23" s="482" t="str">
        <f>IF(RH_CONTRATOS!$E$14="SIM",RH_CONTRATOS!U24,"0")</f>
        <v>0</v>
      </c>
      <c r="F23" s="482" t="str">
        <f>IF(RH_CONTRATOS!$E$14="SIM",RH_CONTRATOS!AA24,"0")</f>
        <v>0</v>
      </c>
      <c r="G23" s="483">
        <f t="shared" si="1"/>
        <v>0</v>
      </c>
      <c r="J23" s="17"/>
      <c r="K23" s="17"/>
      <c r="L23" s="17"/>
      <c r="M23" s="17"/>
      <c r="N23" s="11"/>
      <c r="O23" s="17"/>
      <c r="U23" s="18"/>
    </row>
    <row r="24" spans="2:21">
      <c r="B24" s="466" t="s">
        <v>191</v>
      </c>
      <c r="C24" s="83">
        <v>2000</v>
      </c>
      <c r="D24" s="83">
        <v>5000</v>
      </c>
      <c r="E24" s="83">
        <v>10000</v>
      </c>
      <c r="F24" s="83">
        <v>9000</v>
      </c>
      <c r="G24" s="452">
        <f>F24+E24+D24+C24</f>
        <v>26000</v>
      </c>
      <c r="I24" s="14"/>
      <c r="J24" s="17"/>
      <c r="K24" s="17"/>
      <c r="L24" s="17"/>
      <c r="M24" s="17"/>
      <c r="N24" s="11"/>
      <c r="P24" s="16"/>
    </row>
    <row r="25" spans="2:21">
      <c r="B25" s="466" t="s">
        <v>193</v>
      </c>
      <c r="C25" s="83">
        <v>4684.63</v>
      </c>
      <c r="D25" s="83">
        <v>12000</v>
      </c>
      <c r="E25" s="83">
        <v>7000</v>
      </c>
      <c r="F25" s="83">
        <v>0</v>
      </c>
      <c r="G25" s="452">
        <f>F25+E25+D25+C25</f>
        <v>23684.63</v>
      </c>
      <c r="I25" s="14"/>
      <c r="J25" s="17"/>
      <c r="K25" s="17"/>
      <c r="L25" s="17"/>
      <c r="M25" s="17"/>
      <c r="N25" s="11"/>
    </row>
    <row r="26" spans="2:21">
      <c r="B26" s="467" t="s">
        <v>194</v>
      </c>
      <c r="C26" s="83">
        <v>0</v>
      </c>
      <c r="D26" s="83">
        <v>21000</v>
      </c>
      <c r="E26" s="83">
        <v>20900</v>
      </c>
      <c r="F26" s="83">
        <v>1000</v>
      </c>
      <c r="G26" s="452">
        <f t="shared" si="1"/>
        <v>42900</v>
      </c>
      <c r="I26" s="7"/>
      <c r="J26" s="17"/>
      <c r="K26" s="17"/>
      <c r="L26" s="17"/>
      <c r="M26" s="17"/>
      <c r="N26" s="11"/>
    </row>
    <row r="27" spans="2:21">
      <c r="B27" s="467" t="s">
        <v>196</v>
      </c>
      <c r="C27" s="83">
        <f>Equipamento!R39</f>
        <v>50508.13</v>
      </c>
      <c r="D27" s="83">
        <f>Equipamento!S39</f>
        <v>0</v>
      </c>
      <c r="E27" s="83">
        <f>Equipamento!T39</f>
        <v>0</v>
      </c>
      <c r="F27" s="83">
        <f>Equipamento!U39</f>
        <v>0</v>
      </c>
      <c r="G27" s="452">
        <f t="shared" si="1"/>
        <v>50508.13</v>
      </c>
      <c r="I27" s="7"/>
      <c r="J27" s="17"/>
      <c r="K27" s="17"/>
      <c r="L27" s="17"/>
      <c r="M27" s="17"/>
      <c r="N27" s="11"/>
    </row>
    <row r="28" spans="2:21">
      <c r="B28" s="467" t="s">
        <v>197</v>
      </c>
      <c r="C28" s="83">
        <v>0</v>
      </c>
      <c r="D28" s="83">
        <v>2000</v>
      </c>
      <c r="E28" s="83">
        <v>4000</v>
      </c>
      <c r="F28" s="83">
        <v>0</v>
      </c>
      <c r="G28" s="452">
        <f t="shared" si="1"/>
        <v>6000</v>
      </c>
      <c r="I28" s="7"/>
      <c r="J28" s="17"/>
      <c r="K28" s="17"/>
      <c r="L28" s="17"/>
      <c r="M28" s="17"/>
      <c r="N28" s="11"/>
    </row>
    <row r="29" spans="2:21">
      <c r="B29" s="467" t="s">
        <v>198</v>
      </c>
      <c r="C29" s="83">
        <v>0</v>
      </c>
      <c r="D29" s="83">
        <v>0</v>
      </c>
      <c r="E29" s="83">
        <v>10000</v>
      </c>
      <c r="F29" s="83">
        <v>10000</v>
      </c>
      <c r="G29" s="452">
        <f t="shared" si="1"/>
        <v>20000</v>
      </c>
      <c r="I29" s="7"/>
      <c r="J29" s="17"/>
      <c r="K29" s="17"/>
      <c r="L29" s="17"/>
      <c r="M29" s="17"/>
      <c r="N29" s="11"/>
    </row>
    <row r="30" spans="2:21">
      <c r="B30" s="467" t="s">
        <v>199</v>
      </c>
      <c r="C30" s="83">
        <v>0</v>
      </c>
      <c r="D30" s="83">
        <v>0</v>
      </c>
      <c r="E30" s="83">
        <v>0</v>
      </c>
      <c r="F30" s="83">
        <v>2000</v>
      </c>
      <c r="G30" s="452">
        <f t="shared" si="1"/>
        <v>2000</v>
      </c>
      <c r="I30" s="7"/>
      <c r="J30" s="17"/>
      <c r="K30" s="17"/>
      <c r="L30" s="17"/>
      <c r="M30" s="17"/>
      <c r="N30" s="11"/>
    </row>
    <row r="31" spans="2:21">
      <c r="B31" s="467" t="s">
        <v>200</v>
      </c>
      <c r="C31" s="83">
        <v>0</v>
      </c>
      <c r="D31" s="83">
        <v>0</v>
      </c>
      <c r="E31" s="83">
        <v>0</v>
      </c>
      <c r="F31" s="83">
        <v>0</v>
      </c>
      <c r="G31" s="452">
        <f t="shared" si="1"/>
        <v>0</v>
      </c>
      <c r="I31" s="7"/>
      <c r="J31" s="17"/>
      <c r="K31" s="17"/>
      <c r="L31" s="17"/>
      <c r="M31" s="17"/>
      <c r="N31" s="11"/>
    </row>
    <row r="32" spans="2:21">
      <c r="B32" s="468" t="s">
        <v>201</v>
      </c>
      <c r="C32" s="484">
        <f>+C27+C26+C25+C24+C20+C28+C29+C30+C31</f>
        <v>58974.759999999995</v>
      </c>
      <c r="D32" s="484">
        <f t="shared" ref="D32:F32" si="2">+D27+D26+D25+D24+D20+D28+D29+D30+D31</f>
        <v>140899.12</v>
      </c>
      <c r="E32" s="484">
        <f t="shared" si="2"/>
        <v>179205.12</v>
      </c>
      <c r="F32" s="484">
        <f t="shared" si="2"/>
        <v>85096.36</v>
      </c>
      <c r="G32" s="485">
        <f>G20+G24+G25+G26+G27+G28+G29+G30+G31</f>
        <v>464175.35999999999</v>
      </c>
      <c r="J32" s="11"/>
      <c r="K32" s="11"/>
      <c r="L32" s="11"/>
      <c r="M32" s="11"/>
      <c r="N32" s="11"/>
    </row>
    <row r="33" spans="1:15" ht="12.5" thickBot="1">
      <c r="B33" s="469" t="s">
        <v>91</v>
      </c>
      <c r="C33" s="486">
        <f>(C32)*0.25</f>
        <v>14743.689999999999</v>
      </c>
      <c r="D33" s="486">
        <f t="shared" ref="D33:F33" si="3">(D32)*0.25</f>
        <v>35224.78</v>
      </c>
      <c r="E33" s="486">
        <f t="shared" si="3"/>
        <v>44801.279999999999</v>
      </c>
      <c r="F33" s="486">
        <f t="shared" si="3"/>
        <v>21274.09</v>
      </c>
      <c r="G33" s="487">
        <f>+G32*0.25</f>
        <v>116043.84</v>
      </c>
      <c r="I33" s="8"/>
      <c r="J33" s="18"/>
      <c r="K33" s="18"/>
      <c r="L33" s="18"/>
      <c r="M33" s="18"/>
      <c r="N33" s="18"/>
      <c r="O33" s="8"/>
    </row>
    <row r="34" spans="1:15" ht="12.5" thickBot="1">
      <c r="B34" s="470" t="s">
        <v>40</v>
      </c>
      <c r="C34" s="488">
        <f>+C32+C33</f>
        <v>73718.45</v>
      </c>
      <c r="D34" s="488">
        <f>+D32+D33</f>
        <v>176123.9</v>
      </c>
      <c r="E34" s="488">
        <f>+E32+E33</f>
        <v>224006.39999999999</v>
      </c>
      <c r="F34" s="488">
        <f>+F32+F33</f>
        <v>106370.45</v>
      </c>
      <c r="G34" s="489">
        <f>SUM(C34:F34)</f>
        <v>580219.19999999995</v>
      </c>
      <c r="I34" s="8"/>
      <c r="J34" s="18"/>
      <c r="K34" s="18"/>
      <c r="L34" s="18"/>
      <c r="M34" s="18"/>
      <c r="N34" s="18"/>
      <c r="O34" s="8"/>
    </row>
    <row r="35" spans="1:15" ht="12" customHeight="1">
      <c r="B35" s="471"/>
      <c r="C35" s="471"/>
      <c r="D35" s="471"/>
      <c r="E35" s="471"/>
      <c r="F35" s="471"/>
      <c r="G35" s="471"/>
    </row>
    <row r="36" spans="1:15" ht="12" customHeight="1">
      <c r="B36" s="472" t="s">
        <v>187</v>
      </c>
      <c r="C36" s="490">
        <v>0.75</v>
      </c>
      <c r="D36" s="491"/>
      <c r="E36" s="491"/>
      <c r="F36" s="491"/>
      <c r="G36" s="491"/>
    </row>
    <row r="37" spans="1:15">
      <c r="B37" s="473" t="s">
        <v>93</v>
      </c>
      <c r="C37" s="492">
        <f>+C34*$C$36</f>
        <v>55288.837499999994</v>
      </c>
      <c r="D37" s="492">
        <f>+D34*$C$36</f>
        <v>132092.92499999999</v>
      </c>
      <c r="E37" s="492">
        <f>+E34*$C$36</f>
        <v>168004.8</v>
      </c>
      <c r="F37" s="492">
        <f>+F34*$C$36</f>
        <v>79777.837499999994</v>
      </c>
      <c r="G37" s="492">
        <f>+C37+D37+E37+F37</f>
        <v>435164.4</v>
      </c>
      <c r="I37" s="14"/>
      <c r="J37" s="19"/>
      <c r="K37" s="19"/>
      <c r="L37" s="19"/>
      <c r="M37" s="19"/>
      <c r="N37" s="19"/>
    </row>
    <row r="38" spans="1:15" ht="5.25" customHeight="1">
      <c r="B38" s="474"/>
      <c r="C38" s="493"/>
      <c r="D38" s="493"/>
      <c r="E38" s="493"/>
      <c r="F38" s="493"/>
      <c r="G38" s="494"/>
      <c r="I38" s="14"/>
      <c r="J38" s="19"/>
      <c r="K38" s="19"/>
      <c r="L38" s="19"/>
      <c r="M38" s="19"/>
      <c r="N38" s="19"/>
    </row>
    <row r="39" spans="1:15">
      <c r="B39" s="475" t="s">
        <v>188</v>
      </c>
      <c r="C39" s="495"/>
      <c r="D39" s="495"/>
      <c r="E39" s="495"/>
      <c r="F39" s="495"/>
      <c r="G39" s="492">
        <f>+G34-G37</f>
        <v>145054.79999999993</v>
      </c>
      <c r="I39" s="14"/>
      <c r="J39" s="17"/>
      <c r="K39" s="17"/>
      <c r="L39" s="17"/>
      <c r="M39" s="17"/>
      <c r="N39" s="17"/>
    </row>
    <row r="40" spans="1:15">
      <c r="C40" s="496"/>
      <c r="D40" s="496"/>
      <c r="E40" s="496"/>
      <c r="F40" s="496"/>
      <c r="G40" s="496"/>
      <c r="N40" s="6"/>
    </row>
    <row r="41" spans="1:15" ht="12" customHeight="1">
      <c r="A41" s="22"/>
      <c r="B41" s="24"/>
      <c r="C41" s="497"/>
      <c r="D41" s="498"/>
      <c r="E41" s="498"/>
      <c r="F41" s="499" t="s">
        <v>94</v>
      </c>
      <c r="G41" s="500">
        <f>+G37</f>
        <v>435164.4</v>
      </c>
      <c r="H41" s="16"/>
      <c r="I41" s="17"/>
      <c r="J41" s="17"/>
      <c r="L41" s="17"/>
      <c r="M41" s="17"/>
      <c r="N41" s="17"/>
      <c r="O41" s="17"/>
    </row>
    <row r="42" spans="1:15">
      <c r="B42" s="71"/>
      <c r="C42" s="501"/>
      <c r="D42" s="496"/>
      <c r="E42" s="496"/>
      <c r="F42" s="502" t="s">
        <v>96</v>
      </c>
      <c r="G42" s="503">
        <f>G22+G24+G25+G26+G27+G23+G28+G29+G30+G31</f>
        <v>319120.56</v>
      </c>
    </row>
    <row r="43" spans="1:15">
      <c r="B43" s="71"/>
      <c r="C43" s="501"/>
      <c r="D43" s="496"/>
      <c r="E43" s="496"/>
      <c r="F43" s="502" t="s">
        <v>98</v>
      </c>
      <c r="G43" s="504">
        <f>Equipamento!P39</f>
        <v>5491.88</v>
      </c>
    </row>
    <row r="44" spans="1:15">
      <c r="B44" s="25"/>
      <c r="C44" s="497"/>
      <c r="D44" s="496"/>
      <c r="E44" s="496"/>
      <c r="F44" s="502" t="s">
        <v>99</v>
      </c>
      <c r="G44" s="504"/>
    </row>
    <row r="45" spans="1:15">
      <c r="B45" s="25"/>
      <c r="C45" s="497"/>
      <c r="D45" s="498"/>
      <c r="E45" s="498"/>
      <c r="F45" s="505" t="s">
        <v>100</v>
      </c>
      <c r="G45" s="506">
        <f>SUM(G42:G44)</f>
        <v>324612.44</v>
      </c>
    </row>
    <row r="46" spans="1:15">
      <c r="C46" s="496"/>
      <c r="D46" s="498"/>
      <c r="E46" s="507"/>
      <c r="F46" s="505" t="s">
        <v>101</v>
      </c>
      <c r="G46" s="506">
        <f>G41-G45</f>
        <v>110551.96000000002</v>
      </c>
    </row>
    <row r="47" spans="1:15">
      <c r="C47" s="496"/>
      <c r="D47" s="498"/>
      <c r="E47" s="498"/>
      <c r="F47" s="505" t="s">
        <v>102</v>
      </c>
      <c r="G47" s="508">
        <f>+G46/G34</f>
        <v>0.19053481856512164</v>
      </c>
    </row>
    <row r="48" spans="1:15">
      <c r="C48" s="496"/>
      <c r="D48" s="496"/>
      <c r="E48" s="496"/>
      <c r="F48" s="504"/>
      <c r="G48" s="504"/>
    </row>
    <row r="49" spans="11:21" ht="12.5">
      <c r="K49" s="54"/>
      <c r="L49" s="55"/>
      <c r="M49" s="55"/>
      <c r="N49" s="56"/>
      <c r="O49" s="56"/>
      <c r="P49" s="56"/>
      <c r="Q49" s="56"/>
      <c r="R49" s="56"/>
      <c r="S49" s="56"/>
      <c r="T49" s="56"/>
      <c r="U49" s="56"/>
    </row>
  </sheetData>
  <sheetProtection selectLockedCells="1"/>
  <protectedRanges>
    <protectedRange algorithmName="SHA-512" hashValue="LSV95UVBg/wwMNRlJivinMdaG2XgFNd1oeCkLeWwxeDJwGXzfnl53roJ+nceaQw1wdyPfktxB7s65FuoAJQZSg==" saltValue="aalKPmbBWp4yGOeb307Z0g==" spinCount="100000" sqref="D20:F20 C20:C31 D22:F31" name="Elegível 2017"/>
  </protectedRanges>
  <dataConsolidate/>
  <mergeCells count="7">
    <mergeCell ref="B10:G10"/>
    <mergeCell ref="B18:B19"/>
    <mergeCell ref="C18:C19"/>
    <mergeCell ref="D18:D19"/>
    <mergeCell ref="E18:E19"/>
    <mergeCell ref="F18:F19"/>
    <mergeCell ref="G18:G19"/>
  </mergeCells>
  <pageMargins left="0.19685039370078741" right="0.15748031496062992" top="0.39370078740157483" bottom="0.39370078740157483" header="0.23622047244094491" footer="0.15748031496062992"/>
  <pageSetup paperSize="9" fitToHeight="0" orientation="landscape" r:id="rId1"/>
  <headerFooter alignWithMargins="0">
    <oddFooter>&amp;L&amp;"-,Normal"&amp;9&amp;K01+049&amp;D/&amp;T&amp;C&amp;"-,Normal"&amp;8&amp;K01+049&amp;F/&amp;A&amp;R&amp;"-,Normal"&amp;8&amp;K01+049&amp;P/&amp;N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34998626667073579"/>
    <pageSetUpPr fitToPage="1"/>
  </sheetPr>
  <dimension ref="A2:U50"/>
  <sheetViews>
    <sheetView showGridLines="0" topLeftCell="A16" zoomScale="118" zoomScaleNormal="118" workbookViewId="0">
      <selection activeCell="C27" sqref="C27"/>
    </sheetView>
  </sheetViews>
  <sheetFormatPr defaultColWidth="9.1796875" defaultRowHeight="12"/>
  <cols>
    <col min="1" max="1" width="2.7265625" style="8" customWidth="1"/>
    <col min="2" max="2" width="38.54296875" style="8" customWidth="1"/>
    <col min="3" max="3" width="19.26953125" style="8" customWidth="1"/>
    <col min="4" max="4" width="17.81640625" style="8" customWidth="1"/>
    <col min="5" max="5" width="18.81640625" style="8" customWidth="1"/>
    <col min="6" max="6" width="20.7265625" style="8" customWidth="1"/>
    <col min="7" max="7" width="17.54296875" style="8" customWidth="1"/>
    <col min="8" max="8" width="8.453125" style="8" customWidth="1"/>
    <col min="9" max="9" width="7" style="9" customWidth="1"/>
    <col min="10" max="10" width="10.54296875" style="9" customWidth="1"/>
    <col min="11" max="11" width="13.7265625" style="9" customWidth="1"/>
    <col min="12" max="12" width="10.26953125" style="9" bestFit="1" customWidth="1"/>
    <col min="13" max="13" width="9.1796875" style="9"/>
    <col min="14" max="14" width="9.81640625" style="9" bestFit="1" customWidth="1"/>
    <col min="15" max="15" width="19.7265625" style="9" bestFit="1" customWidth="1"/>
    <col min="16" max="16" width="11.7265625" style="8" bestFit="1" customWidth="1"/>
    <col min="17" max="17" width="14.7265625" style="8" customWidth="1"/>
    <col min="18" max="20" width="9.1796875" style="8"/>
    <col min="21" max="21" width="14" style="8" customWidth="1"/>
    <col min="22" max="16384" width="9.1796875" style="8"/>
  </cols>
  <sheetData>
    <row r="2" spans="2:20" ht="14.5">
      <c r="B2" s="35"/>
    </row>
    <row r="3" spans="2:20" ht="14.5">
      <c r="B3" s="35"/>
    </row>
    <row r="4" spans="2:20" ht="14.5">
      <c r="B4" s="35"/>
    </row>
    <row r="5" spans="2:20" ht="14.5">
      <c r="B5" s="35"/>
    </row>
    <row r="6" spans="2:20" ht="14.5">
      <c r="B6" s="35"/>
    </row>
    <row r="7" spans="2:20" ht="14.5">
      <c r="B7" s="35"/>
    </row>
    <row r="8" spans="2:20" ht="23.5">
      <c r="B8" s="66" t="e">
        <f>+#REF!</f>
        <v>#REF!</v>
      </c>
    </row>
    <row r="9" spans="2:20">
      <c r="B9" s="26"/>
      <c r="C9" s="26"/>
      <c r="D9" s="26"/>
      <c r="E9" s="26"/>
      <c r="F9" s="26"/>
      <c r="G9" s="26"/>
    </row>
    <row r="10" spans="2:20">
      <c r="B10" s="43" t="s">
        <v>42</v>
      </c>
      <c r="C10" s="776"/>
      <c r="D10" s="776"/>
      <c r="E10" s="85"/>
      <c r="F10" s="85"/>
      <c r="G10" s="85"/>
    </row>
    <row r="11" spans="2:20">
      <c r="B11" s="43" t="s">
        <v>43</v>
      </c>
      <c r="C11" s="776"/>
      <c r="D11" s="776"/>
      <c r="E11" s="85"/>
      <c r="F11" s="85"/>
      <c r="G11" s="85"/>
    </row>
    <row r="12" spans="2:20">
      <c r="B12" s="43" t="s">
        <v>1</v>
      </c>
      <c r="C12" s="87" t="str">
        <f>+RESUMO!$E$21</f>
        <v>Universidade do Algarve</v>
      </c>
      <c r="D12" s="87"/>
      <c r="E12" s="85"/>
      <c r="F12" s="85"/>
      <c r="G12" s="85"/>
    </row>
    <row r="13" spans="2:20">
      <c r="B13" s="43" t="s">
        <v>44</v>
      </c>
      <c r="C13" s="777"/>
      <c r="D13" s="777"/>
      <c r="E13" s="85"/>
      <c r="F13" s="85"/>
      <c r="G13" s="85"/>
    </row>
    <row r="14" spans="2:20">
      <c r="B14" s="43" t="s">
        <v>45</v>
      </c>
      <c r="C14" s="44"/>
      <c r="D14" s="44"/>
      <c r="E14" s="86"/>
      <c r="F14" s="85"/>
      <c r="G14" s="86"/>
      <c r="H14" s="10"/>
      <c r="I14" s="11"/>
      <c r="J14" s="11"/>
      <c r="K14" s="11"/>
      <c r="L14" s="11"/>
      <c r="M14" s="11"/>
      <c r="N14" s="11"/>
      <c r="O14" s="11"/>
      <c r="P14" s="10"/>
      <c r="Q14" s="10"/>
      <c r="R14" s="10"/>
      <c r="S14" s="10"/>
      <c r="T14" s="10"/>
    </row>
    <row r="15" spans="2:20">
      <c r="B15" s="43" t="s">
        <v>46</v>
      </c>
      <c r="C15" s="44"/>
      <c r="D15" s="44"/>
      <c r="E15" s="86"/>
      <c r="F15" s="86"/>
      <c r="G15" s="85"/>
      <c r="H15" s="10"/>
      <c r="I15" s="11"/>
      <c r="J15" s="11"/>
      <c r="K15" s="11"/>
      <c r="L15" s="11"/>
      <c r="M15" s="11"/>
      <c r="N15" s="11"/>
      <c r="O15" s="11"/>
      <c r="P15" s="10"/>
      <c r="Q15" s="10"/>
      <c r="R15" s="10"/>
      <c r="S15" s="10"/>
      <c r="T15" s="10"/>
    </row>
    <row r="16" spans="2:20" s="13" customFormat="1" ht="21">
      <c r="B16" s="778" t="s">
        <v>77</v>
      </c>
      <c r="C16" s="778"/>
      <c r="D16" s="778"/>
      <c r="E16" s="778"/>
      <c r="F16" s="778"/>
      <c r="G16" s="778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1" s="13" customFormat="1" ht="13.5" customHeight="1">
      <c r="A17" s="47"/>
      <c r="B17" s="45"/>
      <c r="C17" s="46"/>
      <c r="D17" s="46"/>
      <c r="E17" s="46"/>
      <c r="F17" s="46"/>
      <c r="G17" s="4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1" s="13" customFormat="1" ht="13.5" customHeight="1">
      <c r="A18" s="47"/>
      <c r="B18" s="45" t="s">
        <v>78</v>
      </c>
      <c r="C18" s="46"/>
      <c r="D18" s="46"/>
      <c r="E18" s="46"/>
      <c r="F18" s="46"/>
      <c r="G18" s="4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1" s="13" customFormat="1" ht="12.75" customHeight="1" thickBot="1">
      <c r="B19" s="23"/>
      <c r="C19" s="48"/>
      <c r="D19" s="48"/>
      <c r="E19" s="48"/>
      <c r="F19" s="108" t="s">
        <v>149</v>
      </c>
      <c r="G19" s="49">
        <v>250000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1" ht="12.5" thickTop="1">
      <c r="B20" s="779" t="s">
        <v>79</v>
      </c>
      <c r="C20" s="781">
        <v>2025</v>
      </c>
      <c r="D20" s="781">
        <v>2026</v>
      </c>
      <c r="E20" s="781">
        <v>2027</v>
      </c>
      <c r="F20" s="781">
        <v>2028</v>
      </c>
      <c r="G20" s="783" t="s">
        <v>25</v>
      </c>
      <c r="I20" s="14"/>
      <c r="J20" s="15"/>
      <c r="K20" s="15"/>
      <c r="L20" s="15"/>
      <c r="M20" s="15"/>
      <c r="N20" s="15"/>
      <c r="U20" s="16"/>
    </row>
    <row r="21" spans="1:21" ht="15.75" customHeight="1" thickBot="1">
      <c r="B21" s="780"/>
      <c r="C21" s="782"/>
      <c r="D21" s="782"/>
      <c r="E21" s="782"/>
      <c r="F21" s="782"/>
      <c r="G21" s="784"/>
      <c r="I21" s="14"/>
      <c r="J21" s="15"/>
      <c r="K21" s="15"/>
      <c r="L21" s="15"/>
      <c r="M21" s="15"/>
      <c r="N21" s="15"/>
      <c r="U21" s="16"/>
    </row>
    <row r="22" spans="1:21" ht="12.5" thickTop="1">
      <c r="B22" s="68" t="s">
        <v>80</v>
      </c>
      <c r="C22" s="80" t="e">
        <f>SUM(C23:C25)</f>
        <v>#REF!</v>
      </c>
      <c r="D22" s="80" t="e">
        <f t="shared" ref="D22:F22" si="0">SUM(D23:D25)</f>
        <v>#REF!</v>
      </c>
      <c r="E22" s="80" t="e">
        <f t="shared" si="0"/>
        <v>#REF!</v>
      </c>
      <c r="F22" s="80" t="e">
        <f t="shared" si="0"/>
        <v>#REF!</v>
      </c>
      <c r="G22" s="70" t="e">
        <f>SUM(G23:G25)</f>
        <v>#REF!</v>
      </c>
      <c r="I22" s="14"/>
      <c r="J22" s="15"/>
      <c r="K22" s="15"/>
      <c r="L22" s="15"/>
      <c r="M22" s="15"/>
      <c r="N22" s="15"/>
      <c r="U22" s="16"/>
    </row>
    <row r="23" spans="1:21">
      <c r="B23" s="69" t="s">
        <v>148</v>
      </c>
      <c r="C23" s="81" t="e">
        <f>RH_EQUIPA!#REF!</f>
        <v>#REF!</v>
      </c>
      <c r="D23" s="81" t="e">
        <f>RH_EQUIPA!#REF!</f>
        <v>#REF!</v>
      </c>
      <c r="E23" s="81" t="e">
        <f>RH_EQUIPA!#REF!</f>
        <v>#REF!</v>
      </c>
      <c r="F23" s="81" t="e">
        <f>RH_EQUIPA!#REF!</f>
        <v>#REF!</v>
      </c>
      <c r="G23" s="67" t="e">
        <f>F23+E23+D23+C23</f>
        <v>#REF!</v>
      </c>
      <c r="I23" s="14"/>
      <c r="J23" s="15"/>
      <c r="K23" s="15"/>
      <c r="L23" s="15"/>
      <c r="M23" s="15"/>
      <c r="N23" s="15"/>
      <c r="U23" s="16"/>
    </row>
    <row r="24" spans="1:21">
      <c r="B24" s="69" t="s">
        <v>81</v>
      </c>
      <c r="C24" s="81" t="e">
        <f>RH_EQUIPA!#REF!</f>
        <v>#REF!</v>
      </c>
      <c r="D24" s="81" t="e">
        <f>RH_EQUIPA!#REF!</f>
        <v>#REF!</v>
      </c>
      <c r="E24" s="81" t="e">
        <f>RH_EQUIPA!#REF!</f>
        <v>#REF!</v>
      </c>
      <c r="F24" s="81" t="e">
        <f>RH_EQUIPA!#REF!</f>
        <v>#REF!</v>
      </c>
      <c r="G24" s="67" t="e">
        <f>F24+E24+D24+C24</f>
        <v>#REF!</v>
      </c>
      <c r="J24" s="17"/>
      <c r="K24" s="17"/>
      <c r="L24" s="17"/>
      <c r="M24" s="17"/>
      <c r="N24" s="11"/>
      <c r="O24" s="17"/>
      <c r="U24" s="18"/>
    </row>
    <row r="25" spans="1:21">
      <c r="B25" s="73" t="s">
        <v>82</v>
      </c>
      <c r="C25" s="82" t="e">
        <f>RH_EQUIPA!#REF!</f>
        <v>#REF!</v>
      </c>
      <c r="D25" s="82" t="e">
        <f>RH_EQUIPA!#REF!</f>
        <v>#REF!</v>
      </c>
      <c r="E25" s="82" t="e">
        <f>RH_EQUIPA!#REF!</f>
        <v>#REF!</v>
      </c>
      <c r="F25" s="82" t="e">
        <f>RH_EQUIPA!#REF!</f>
        <v>#REF!</v>
      </c>
      <c r="G25" s="74" t="e">
        <f>F25+E25+D25+C25</f>
        <v>#REF!</v>
      </c>
      <c r="J25" s="17"/>
      <c r="K25" s="17"/>
      <c r="L25" s="17"/>
      <c r="M25" s="17"/>
      <c r="N25" s="11"/>
      <c r="O25" s="17"/>
      <c r="U25" s="18"/>
    </row>
    <row r="26" spans="1:21">
      <c r="B26" s="77" t="s">
        <v>83</v>
      </c>
      <c r="C26" s="83">
        <v>2000</v>
      </c>
      <c r="D26" s="83">
        <v>2500</v>
      </c>
      <c r="E26" s="83">
        <v>2500</v>
      </c>
      <c r="F26" s="83">
        <v>0</v>
      </c>
      <c r="G26" s="78">
        <f t="shared" ref="G26:G32" si="1">F26+E26+D26+C26</f>
        <v>7000</v>
      </c>
      <c r="I26" s="14"/>
      <c r="J26" s="17"/>
      <c r="K26" s="17"/>
      <c r="L26" s="17"/>
      <c r="M26" s="17"/>
      <c r="N26" s="11"/>
      <c r="P26" s="16"/>
    </row>
    <row r="27" spans="1:21">
      <c r="B27" s="77" t="s">
        <v>84</v>
      </c>
      <c r="C27" s="83">
        <v>25000</v>
      </c>
      <c r="D27" s="83">
        <v>15000</v>
      </c>
      <c r="E27" s="83">
        <v>15000</v>
      </c>
      <c r="F27" s="83">
        <v>0</v>
      </c>
      <c r="G27" s="78">
        <f t="shared" si="1"/>
        <v>55000</v>
      </c>
      <c r="I27" s="14"/>
      <c r="J27" s="17"/>
      <c r="K27" s="17"/>
      <c r="L27" s="17"/>
      <c r="M27" s="17"/>
      <c r="N27" s="11"/>
    </row>
    <row r="28" spans="1:21">
      <c r="B28" s="79" t="s">
        <v>85</v>
      </c>
      <c r="C28" s="83">
        <v>0</v>
      </c>
      <c r="D28" s="83">
        <v>3500</v>
      </c>
      <c r="E28" s="83">
        <v>3000</v>
      </c>
      <c r="F28" s="83">
        <v>0</v>
      </c>
      <c r="G28" s="78">
        <f t="shared" si="1"/>
        <v>6500</v>
      </c>
      <c r="I28" s="7"/>
      <c r="J28" s="17"/>
      <c r="K28" s="17"/>
      <c r="L28" s="17"/>
      <c r="M28" s="17"/>
      <c r="N28" s="11"/>
    </row>
    <row r="29" spans="1:21">
      <c r="B29" s="79" t="s">
        <v>86</v>
      </c>
      <c r="C29" s="83">
        <v>0</v>
      </c>
      <c r="D29" s="83">
        <v>0</v>
      </c>
      <c r="E29" s="83">
        <v>0</v>
      </c>
      <c r="F29" s="83">
        <v>0</v>
      </c>
      <c r="G29" s="78">
        <f t="shared" si="1"/>
        <v>0</v>
      </c>
      <c r="I29" s="7"/>
      <c r="J29" s="17"/>
      <c r="K29" s="17"/>
      <c r="L29" s="17"/>
      <c r="M29" s="17"/>
      <c r="N29" s="11"/>
    </row>
    <row r="30" spans="1:21">
      <c r="B30" s="79" t="s">
        <v>87</v>
      </c>
      <c r="C30" s="83">
        <v>0</v>
      </c>
      <c r="D30" s="83">
        <v>0</v>
      </c>
      <c r="E30" s="83">
        <v>0</v>
      </c>
      <c r="F30" s="83">
        <v>0</v>
      </c>
      <c r="G30" s="78">
        <f t="shared" si="1"/>
        <v>0</v>
      </c>
      <c r="I30" s="7"/>
      <c r="J30" s="17"/>
      <c r="K30" s="17"/>
      <c r="L30" s="17"/>
      <c r="M30" s="17"/>
      <c r="N30" s="11"/>
    </row>
    <row r="31" spans="1:21">
      <c r="B31" s="79" t="s">
        <v>88</v>
      </c>
      <c r="C31" s="83" t="e">
        <f>+#REF!</f>
        <v>#REF!</v>
      </c>
      <c r="D31" s="83" t="e">
        <f>+#REF!</f>
        <v>#REF!</v>
      </c>
      <c r="E31" s="83" t="e">
        <f>+#REF!</f>
        <v>#REF!</v>
      </c>
      <c r="F31" s="83" t="e">
        <f>+#REF!</f>
        <v>#REF!</v>
      </c>
      <c r="G31" s="78" t="e">
        <f t="shared" si="1"/>
        <v>#REF!</v>
      </c>
      <c r="I31" s="7"/>
      <c r="J31" s="17"/>
      <c r="K31" s="17"/>
      <c r="L31" s="17"/>
      <c r="M31" s="17"/>
      <c r="N31" s="11"/>
    </row>
    <row r="32" spans="1:21">
      <c r="B32" s="79" t="s">
        <v>89</v>
      </c>
      <c r="C32" s="83">
        <v>0</v>
      </c>
      <c r="D32" s="83">
        <v>0</v>
      </c>
      <c r="E32" s="83">
        <v>0</v>
      </c>
      <c r="F32" s="83">
        <v>0</v>
      </c>
      <c r="G32" s="78">
        <f t="shared" si="1"/>
        <v>0</v>
      </c>
      <c r="I32" s="7"/>
      <c r="J32" s="17"/>
      <c r="K32" s="17"/>
      <c r="L32" s="17"/>
      <c r="M32" s="17"/>
      <c r="N32" s="11"/>
    </row>
    <row r="33" spans="1:15">
      <c r="B33" s="75" t="s">
        <v>90</v>
      </c>
      <c r="C33" s="84" t="e">
        <f>C32+C31+C30+C29+C28+C27+C26+C22</f>
        <v>#REF!</v>
      </c>
      <c r="D33" s="84" t="e">
        <f>D32+D31+D30+D29+D28+D27+D26+D22</f>
        <v>#REF!</v>
      </c>
      <c r="E33" s="84" t="e">
        <f>E32+E31+E30+E29+E28+E27+E26+E22</f>
        <v>#REF!</v>
      </c>
      <c r="F33" s="84" t="e">
        <f t="shared" ref="F33" si="2">F32+F31+F30+F29+F28+F27+F26+F22</f>
        <v>#REF!</v>
      </c>
      <c r="G33" s="76" t="e">
        <f>G32+G31+G30+G29+G28+G27+G26+G22</f>
        <v>#REF!</v>
      </c>
      <c r="J33" s="11"/>
      <c r="K33" s="11"/>
      <c r="L33" s="11"/>
      <c r="M33" s="11"/>
      <c r="N33" s="11"/>
    </row>
    <row r="34" spans="1:15">
      <c r="B34" s="120" t="s">
        <v>91</v>
      </c>
      <c r="C34" s="121" t="e">
        <f>(C22+C26+C27+C28+C29+C30+C31)*0.25</f>
        <v>#REF!</v>
      </c>
      <c r="D34" s="121" t="e">
        <f>(D22+D26+D27+D28+D29+D30+D31)*0.25</f>
        <v>#REF!</v>
      </c>
      <c r="E34" s="121" t="e">
        <f>(E22+E26+E27+E28+E29+E30+E31)*0.25</f>
        <v>#REF!</v>
      </c>
      <c r="F34" s="121" t="e">
        <f>(F22+F26+F27+F28+F29+F30+F31)*0.25</f>
        <v>#REF!</v>
      </c>
      <c r="G34" s="122" t="e">
        <f>(G22+G26+G27+G28+G29+G30+G31)*0.25</f>
        <v>#REF!</v>
      </c>
      <c r="I34" s="8"/>
      <c r="J34" s="18"/>
      <c r="K34" s="18"/>
      <c r="L34" s="18"/>
      <c r="M34" s="18"/>
      <c r="N34" s="18"/>
      <c r="O34" s="8"/>
    </row>
    <row r="35" spans="1:15">
      <c r="B35" s="112" t="s">
        <v>92</v>
      </c>
      <c r="C35" s="113" t="e">
        <f>C37*C39</f>
        <v>#REF!</v>
      </c>
      <c r="D35" s="113" t="e">
        <f>D37*D39</f>
        <v>#REF!</v>
      </c>
      <c r="E35" s="113" t="e">
        <f>E37*E39</f>
        <v>#REF!</v>
      </c>
      <c r="F35" s="113" t="e">
        <f>F37</f>
        <v>#REF!</v>
      </c>
      <c r="G35" s="114" t="e">
        <f>SUM(C35:F35)</f>
        <v>#REF!</v>
      </c>
      <c r="I35" s="8"/>
      <c r="J35" s="18"/>
      <c r="K35" s="18"/>
      <c r="L35" s="18"/>
      <c r="M35" s="18"/>
      <c r="N35" s="18"/>
      <c r="O35" s="8"/>
    </row>
    <row r="36" spans="1:15" ht="12.5" thickBot="1">
      <c r="B36" s="123" t="s">
        <v>151</v>
      </c>
      <c r="C36" s="124" t="e">
        <f>C37-C35</f>
        <v>#REF!</v>
      </c>
      <c r="D36" s="124" t="e">
        <f>D37-D35</f>
        <v>#REF!</v>
      </c>
      <c r="E36" s="124" t="e">
        <f>E37-E35</f>
        <v>#REF!</v>
      </c>
      <c r="F36" s="124" t="e">
        <f>F37-F35</f>
        <v>#REF!</v>
      </c>
      <c r="G36" s="125" t="e">
        <f>G37-G35</f>
        <v>#REF!</v>
      </c>
    </row>
    <row r="37" spans="1:15" ht="13" thickTop="1" thickBot="1">
      <c r="B37" s="115" t="s">
        <v>25</v>
      </c>
      <c r="C37" s="116" t="e">
        <f>C34+C33</f>
        <v>#REF!</v>
      </c>
      <c r="D37" s="116" t="e">
        <f>D34+D33</f>
        <v>#REF!</v>
      </c>
      <c r="E37" s="116" t="e">
        <f>E34+E33</f>
        <v>#REF!</v>
      </c>
      <c r="F37" s="116" t="e">
        <f>F34+F33</f>
        <v>#REF!</v>
      </c>
      <c r="G37" s="117" t="e">
        <f>G34+G33</f>
        <v>#REF!</v>
      </c>
      <c r="I37" s="109" t="e">
        <f>IF(G37=#REF!,"Orçamento ditribuído Igual ao OCS","VERIFICAR NOVAMENTE")</f>
        <v>#REF!</v>
      </c>
      <c r="J37" s="11"/>
      <c r="K37" s="11"/>
      <c r="L37" s="11"/>
      <c r="M37" s="11"/>
      <c r="N37" s="11"/>
    </row>
    <row r="38" spans="1:15" ht="12" customHeight="1" thickTop="1">
      <c r="B38" s="118"/>
      <c r="C38" s="119"/>
      <c r="D38" s="119"/>
      <c r="E38" s="119"/>
      <c r="F38" s="119"/>
      <c r="G38" s="118"/>
    </row>
    <row r="39" spans="1:15">
      <c r="B39" s="37" t="s">
        <v>93</v>
      </c>
      <c r="C39" s="50">
        <v>0.8</v>
      </c>
      <c r="D39" s="50">
        <v>0.8</v>
      </c>
      <c r="E39" s="50">
        <v>0.8</v>
      </c>
      <c r="F39" s="50">
        <v>0.8</v>
      </c>
      <c r="G39" s="50">
        <v>0.8</v>
      </c>
      <c r="I39" s="14"/>
      <c r="J39" s="19"/>
      <c r="K39" s="19"/>
      <c r="L39" s="19"/>
      <c r="M39" s="19"/>
      <c r="N39" s="19"/>
    </row>
    <row r="40" spans="1:15">
      <c r="B40" s="20"/>
      <c r="C40" s="21"/>
      <c r="D40" s="21"/>
      <c r="E40" s="21"/>
      <c r="F40" s="21"/>
      <c r="G40" s="31"/>
      <c r="I40" s="14"/>
      <c r="J40" s="17"/>
      <c r="K40" s="17"/>
      <c r="L40" s="17"/>
      <c r="M40" s="17"/>
      <c r="N40" s="17"/>
    </row>
    <row r="41" spans="1:15">
      <c r="G41" s="26"/>
      <c r="N41" s="6"/>
    </row>
    <row r="42" spans="1:15" ht="12" customHeight="1">
      <c r="A42" s="22"/>
      <c r="B42" s="24"/>
      <c r="C42" s="25"/>
      <c r="E42" s="51"/>
      <c r="F42" s="39" t="s">
        <v>94</v>
      </c>
      <c r="G42" s="38" t="e">
        <f>G35</f>
        <v>#REF!</v>
      </c>
      <c r="H42" s="16"/>
      <c r="I42" s="17"/>
      <c r="J42" s="17"/>
      <c r="L42" s="17"/>
      <c r="M42" s="17"/>
      <c r="N42" s="17"/>
      <c r="O42" s="17"/>
    </row>
    <row r="43" spans="1:15">
      <c r="B43" s="71" t="s">
        <v>95</v>
      </c>
      <c r="C43" s="72" t="e">
        <f>+G37*0.4</f>
        <v>#REF!</v>
      </c>
      <c r="F43" s="27" t="s">
        <v>96</v>
      </c>
      <c r="G43" s="28" t="e">
        <f>G24+G26+G27+G28+G29+G30+G31+G32</f>
        <v>#REF!</v>
      </c>
    </row>
    <row r="44" spans="1:15">
      <c r="B44" s="71" t="s">
        <v>97</v>
      </c>
      <c r="C44" s="72" t="e">
        <f>+G37*0.6</f>
        <v>#REF!</v>
      </c>
      <c r="F44" s="27" t="s">
        <v>98</v>
      </c>
      <c r="G44" s="29" t="e">
        <f>+#REF!</f>
        <v>#REF!</v>
      </c>
    </row>
    <row r="45" spans="1:15">
      <c r="B45" s="25"/>
      <c r="C45" s="25"/>
      <c r="F45" s="27" t="s">
        <v>99</v>
      </c>
      <c r="G45" s="29" t="e">
        <f>RH_EQUIPA!#REF!</f>
        <v>#REF!</v>
      </c>
    </row>
    <row r="46" spans="1:15">
      <c r="B46" s="25"/>
      <c r="C46" s="25"/>
      <c r="E46" s="52"/>
      <c r="F46" s="41" t="s">
        <v>100</v>
      </c>
      <c r="G46" s="40" t="e">
        <f>SUM(G43:G45)</f>
        <v>#REF!</v>
      </c>
    </row>
    <row r="47" spans="1:15">
      <c r="E47" s="53"/>
      <c r="F47" s="41" t="s">
        <v>101</v>
      </c>
      <c r="G47" s="40" t="e">
        <f>G42-G46</f>
        <v>#REF!</v>
      </c>
    </row>
    <row r="48" spans="1:15">
      <c r="E48" s="52"/>
      <c r="F48" s="41" t="s">
        <v>102</v>
      </c>
      <c r="G48" s="42" t="e">
        <f>+G47/G42</f>
        <v>#REF!</v>
      </c>
    </row>
    <row r="49" spans="6:21">
      <c r="F49" s="16"/>
      <c r="G49" s="29"/>
    </row>
    <row r="50" spans="6:21" ht="12.5">
      <c r="K50" s="54"/>
      <c r="L50" s="55"/>
      <c r="M50" s="55"/>
      <c r="N50" s="56"/>
      <c r="O50" s="56"/>
      <c r="P50" s="56"/>
      <c r="Q50" s="56"/>
      <c r="R50" s="56"/>
      <c r="S50" s="56"/>
      <c r="T50" s="56"/>
      <c r="U50" s="56"/>
    </row>
  </sheetData>
  <sheetProtection selectLockedCells="1"/>
  <protectedRanges>
    <protectedRange algorithmName="SHA-512" hashValue="LSV95UVBg/wwMNRlJivinMdaG2XgFNd1oeCkLeWwxeDJwGXzfnl53roJ+nceaQw1wdyPfktxB7s65FuoAJQZSg==" saltValue="aalKPmbBWp4yGOeb307Z0g==" spinCount="100000" sqref="C22:C32 D26:F30 D22:F22" name="Elegível 2017"/>
  </protectedRanges>
  <dataConsolidate/>
  <mergeCells count="10">
    <mergeCell ref="C10:D10"/>
    <mergeCell ref="C11:D11"/>
    <mergeCell ref="C13:D13"/>
    <mergeCell ref="B16:G16"/>
    <mergeCell ref="B20:B21"/>
    <mergeCell ref="C20:C21"/>
    <mergeCell ref="D20:D21"/>
    <mergeCell ref="E20:E21"/>
    <mergeCell ref="F20:F21"/>
    <mergeCell ref="G20:G21"/>
  </mergeCells>
  <pageMargins left="0.19685039370078741" right="0.15748031496062992" top="0.39370078740157483" bottom="0.39370078740157483" header="0.23622047244094491" footer="0.15748031496062992"/>
  <pageSetup paperSize="9" fitToHeight="0" orientation="landscape" r:id="rId1"/>
  <headerFooter alignWithMargins="0">
    <oddFooter>&amp;L&amp;"-,Normal"&amp;9&amp;K01+049&amp;D/&amp;T&amp;C&amp;"-,Normal"&amp;8&amp;K01+049&amp;F/&amp;A&amp;R&amp;"-,Normal"&amp;8&amp;K01+049&amp;P/&amp;N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75"/>
  <sheetViews>
    <sheetView topLeftCell="A13" workbookViewId="0">
      <selection activeCell="A59" sqref="A59"/>
    </sheetView>
  </sheetViews>
  <sheetFormatPr defaultColWidth="9.1796875" defaultRowHeight="13"/>
  <cols>
    <col min="1" max="1" width="44.7265625" style="2" customWidth="1"/>
    <col min="2" max="2" width="11.81640625" style="2" customWidth="1"/>
    <col min="3" max="3" width="16.7265625" style="2" customWidth="1"/>
    <col min="4" max="4" width="9.1796875" style="2"/>
    <col min="5" max="5" width="14.1796875" style="2" customWidth="1"/>
    <col min="6" max="16384" width="9.1796875" style="2"/>
  </cols>
  <sheetData>
    <row r="1" spans="1:6">
      <c r="A1" s="2" t="s">
        <v>103</v>
      </c>
      <c r="B1" s="5">
        <v>1851</v>
      </c>
      <c r="D1" s="3"/>
    </row>
    <row r="2" spans="1:6">
      <c r="A2" s="2" t="s">
        <v>58</v>
      </c>
      <c r="B2" s="5">
        <v>1309.6400000000001</v>
      </c>
      <c r="D2" s="3"/>
      <c r="E2" s="5"/>
    </row>
    <row r="3" spans="1:6">
      <c r="A3" s="2" t="s">
        <v>104</v>
      </c>
      <c r="B3" s="5">
        <v>1040.98</v>
      </c>
      <c r="D3" s="3"/>
      <c r="E3" s="5"/>
    </row>
    <row r="4" spans="1:6">
      <c r="A4" s="2" t="s">
        <v>105</v>
      </c>
      <c r="B4" s="5">
        <v>651.12</v>
      </c>
      <c r="C4" s="1"/>
      <c r="D4" s="3"/>
    </row>
    <row r="5" spans="1:6">
      <c r="A5" s="2" t="s">
        <v>59</v>
      </c>
      <c r="B5" s="5">
        <v>0</v>
      </c>
      <c r="C5" s="1"/>
      <c r="D5" s="3"/>
    </row>
    <row r="6" spans="1:6">
      <c r="A6" s="3"/>
      <c r="B6" s="4" t="s">
        <v>106</v>
      </c>
      <c r="C6" s="1" t="s">
        <v>107</v>
      </c>
      <c r="D6" s="3" t="s">
        <v>108</v>
      </c>
      <c r="E6" s="3" t="s">
        <v>160</v>
      </c>
      <c r="F6" s="3" t="s">
        <v>23</v>
      </c>
    </row>
    <row r="7" spans="1:6">
      <c r="A7" s="3" t="s">
        <v>109</v>
      </c>
      <c r="B7" s="4">
        <v>2351.5300000000002</v>
      </c>
      <c r="C7" s="1"/>
      <c r="D7" s="3" t="s">
        <v>110</v>
      </c>
      <c r="E7" s="3" t="s">
        <v>111</v>
      </c>
      <c r="F7" s="3" t="s">
        <v>112</v>
      </c>
    </row>
    <row r="8" spans="1:6">
      <c r="A8" s="3" t="s">
        <v>113</v>
      </c>
      <c r="B8" s="4">
        <v>3501.28</v>
      </c>
      <c r="C8" s="1"/>
      <c r="D8" s="3" t="s">
        <v>114</v>
      </c>
      <c r="E8" s="3" t="s">
        <v>115</v>
      </c>
    </row>
    <row r="9" spans="1:6">
      <c r="A9" s="3" t="s">
        <v>152</v>
      </c>
      <c r="B9" s="4">
        <v>3950.17</v>
      </c>
      <c r="C9" s="1"/>
      <c r="D9" s="3" t="s">
        <v>159</v>
      </c>
      <c r="E9" s="3" t="s">
        <v>117</v>
      </c>
    </row>
    <row r="10" spans="1:6">
      <c r="A10" s="3" t="s">
        <v>116</v>
      </c>
      <c r="B10" s="4">
        <v>4399.05</v>
      </c>
      <c r="D10" s="3" t="s">
        <v>119</v>
      </c>
      <c r="E10" s="3" t="s">
        <v>120</v>
      </c>
    </row>
    <row r="11" spans="1:6">
      <c r="A11" s="3" t="s">
        <v>118</v>
      </c>
      <c r="B11" s="4">
        <v>5117.26</v>
      </c>
      <c r="D11" s="3" t="s">
        <v>121</v>
      </c>
      <c r="E11" s="3" t="s">
        <v>122</v>
      </c>
    </row>
    <row r="12" spans="1:6">
      <c r="A12" s="3" t="s">
        <v>73</v>
      </c>
      <c r="B12" s="4">
        <v>0</v>
      </c>
      <c r="D12" s="3" t="s">
        <v>123</v>
      </c>
      <c r="E12" s="3" t="s">
        <v>124</v>
      </c>
    </row>
    <row r="13" spans="1:6">
      <c r="D13" s="3" t="s">
        <v>125</v>
      </c>
      <c r="E13" s="3" t="s">
        <v>126</v>
      </c>
    </row>
    <row r="14" spans="1:6">
      <c r="A14" s="3"/>
      <c r="B14" s="65"/>
      <c r="E14" s="3" t="s">
        <v>127</v>
      </c>
    </row>
    <row r="15" spans="1:6">
      <c r="A15" s="3" t="s">
        <v>83</v>
      </c>
      <c r="B15" s="65"/>
      <c r="E15" s="3" t="s">
        <v>128</v>
      </c>
    </row>
    <row r="16" spans="1:6">
      <c r="A16" s="3" t="s">
        <v>84</v>
      </c>
      <c r="B16" s="65"/>
      <c r="E16" s="3" t="s">
        <v>129</v>
      </c>
    </row>
    <row r="17" spans="1:17">
      <c r="A17" s="3" t="s">
        <v>85</v>
      </c>
      <c r="B17" s="65"/>
      <c r="C17" s="36"/>
      <c r="E17" s="3" t="s">
        <v>130</v>
      </c>
    </row>
    <row r="18" spans="1:17">
      <c r="A18" s="3" t="s">
        <v>86</v>
      </c>
      <c r="B18" s="65"/>
      <c r="C18" s="36"/>
      <c r="E18" s="3" t="s">
        <v>131</v>
      </c>
    </row>
    <row r="19" spans="1:17">
      <c r="A19" s="2" t="s">
        <v>87</v>
      </c>
      <c r="B19" s="5"/>
      <c r="C19" s="36"/>
      <c r="E19" s="3" t="s">
        <v>132</v>
      </c>
    </row>
    <row r="20" spans="1:17">
      <c r="A20" s="2" t="s">
        <v>88</v>
      </c>
      <c r="B20" s="5"/>
      <c r="C20" s="36"/>
    </row>
    <row r="21" spans="1:17">
      <c r="A21" s="2" t="s">
        <v>89</v>
      </c>
      <c r="B21" s="5"/>
      <c r="C21" s="36"/>
    </row>
    <row r="22" spans="1:17">
      <c r="A22" s="69" t="s">
        <v>148</v>
      </c>
      <c r="B22" s="5"/>
      <c r="C22" s="36"/>
    </row>
    <row r="23" spans="1:17">
      <c r="A23" s="69" t="s">
        <v>81</v>
      </c>
      <c r="B23" s="5"/>
      <c r="C23" s="36"/>
    </row>
    <row r="24" spans="1:17">
      <c r="A24" s="73" t="s">
        <v>82</v>
      </c>
      <c r="B24" s="5"/>
      <c r="C24" s="36"/>
    </row>
    <row r="25" spans="1:17">
      <c r="A25" s="128"/>
      <c r="B25" s="5"/>
      <c r="C25" s="36"/>
    </row>
    <row r="26" spans="1:17">
      <c r="A26" s="128"/>
      <c r="B26" s="5"/>
      <c r="C26" s="36"/>
    </row>
    <row r="27" spans="1:17">
      <c r="A27" s="128"/>
      <c r="B27" s="5"/>
      <c r="C27" s="36"/>
    </row>
    <row r="28" spans="1:17">
      <c r="A28" s="2" t="s">
        <v>133</v>
      </c>
      <c r="B28" s="5"/>
      <c r="C28" s="36"/>
    </row>
    <row r="29" spans="1:17">
      <c r="A29" s="2" t="s">
        <v>134</v>
      </c>
      <c r="B29" s="5"/>
      <c r="C29" s="36"/>
    </row>
    <row r="30" spans="1:17">
      <c r="A30" s="2" t="s">
        <v>135</v>
      </c>
      <c r="B30" s="5"/>
      <c r="C30" s="36"/>
    </row>
    <row r="31" spans="1:17">
      <c r="A31" s="2" t="s">
        <v>136</v>
      </c>
      <c r="B31" s="5"/>
      <c r="C31" s="36"/>
    </row>
    <row r="32" spans="1:17">
      <c r="B32" s="5"/>
      <c r="C32" s="36"/>
      <c r="G32" s="33"/>
      <c r="H32" s="32"/>
      <c r="I32" s="32"/>
      <c r="J32" s="34"/>
      <c r="K32" s="34"/>
      <c r="L32" s="34"/>
      <c r="M32" s="34"/>
      <c r="N32" s="34"/>
      <c r="O32" s="34"/>
      <c r="P32" s="34"/>
      <c r="Q32" s="34"/>
    </row>
    <row r="33" spans="1:3">
      <c r="B33" s="5"/>
      <c r="C33" s="36"/>
    </row>
    <row r="34" spans="1:3">
      <c r="A34" s="2" t="s">
        <v>28</v>
      </c>
      <c r="B34" s="5"/>
      <c r="C34" s="36"/>
    </row>
    <row r="35" spans="1:3">
      <c r="A35" s="2" t="s">
        <v>29</v>
      </c>
      <c r="B35" s="5"/>
      <c r="C35" s="36"/>
    </row>
    <row r="36" spans="1:3">
      <c r="A36" s="2" t="s">
        <v>137</v>
      </c>
      <c r="B36" s="5"/>
      <c r="C36" s="36"/>
    </row>
    <row r="37" spans="1:3">
      <c r="A37" s="2" t="s">
        <v>138</v>
      </c>
      <c r="B37" s="5"/>
      <c r="C37" s="36"/>
    </row>
    <row r="38" spans="1:3">
      <c r="B38" s="5"/>
      <c r="C38" s="36"/>
    </row>
    <row r="39" spans="1:3">
      <c r="B39" s="5"/>
      <c r="C39" s="36"/>
    </row>
    <row r="40" spans="1:3">
      <c r="B40" s="5"/>
      <c r="C40" s="36"/>
    </row>
    <row r="41" spans="1:3">
      <c r="A41" s="2" t="s">
        <v>183</v>
      </c>
      <c r="B41" s="5"/>
      <c r="C41" s="36"/>
    </row>
    <row r="42" spans="1:3">
      <c r="A42" s="2" t="str">
        <f>IF(RH_EQUIPA!B19&gt;0,RH_EQUIPA!C19,"")</f>
        <v>Ana Cristina Coelho</v>
      </c>
      <c r="B42" s="5"/>
      <c r="C42" s="36"/>
    </row>
    <row r="43" spans="1:3">
      <c r="A43" s="2" t="str">
        <f>IF(RH_EQUIPA!B20&gt;0,RH_EQUIPA!C20,"")</f>
        <v>Ana Maria Costa</v>
      </c>
      <c r="B43" s="5"/>
      <c r="C43" s="36"/>
    </row>
    <row r="44" spans="1:3">
      <c r="A44" s="2" t="str">
        <f>IF(RH_EQUIPA!B21&gt;0,RH_EQUIPA!C21,"")</f>
        <v>Cristina Veiga-Pires</v>
      </c>
      <c r="B44" s="5"/>
      <c r="C44" s="36"/>
    </row>
    <row r="45" spans="1:3">
      <c r="A45" s="2" t="str">
        <f>IF(RH_EQUIPA!B22&gt;0,RH_EQUIPA!C22,"")</f>
        <v>Jorge Semião</v>
      </c>
      <c r="B45" s="5"/>
      <c r="C45" s="36"/>
    </row>
    <row r="46" spans="1:3">
      <c r="A46" s="2" t="str">
        <f>IF(RH_EQUIPA!B23&gt;0,RH_EQUIPA!C23,"")</f>
        <v>Jânio Monteiro</v>
      </c>
      <c r="B46" s="5"/>
      <c r="C46" s="36"/>
    </row>
    <row r="47" spans="1:3">
      <c r="A47" s="2" t="str">
        <f>IF(RH_EQUIPA!B24&gt;0,RH_EQUIPA!C24,"")</f>
        <v>Pedro cardoso</v>
      </c>
      <c r="B47" s="5"/>
      <c r="C47" s="36"/>
    </row>
    <row r="48" spans="1:3">
      <c r="A48" s="2" t="str">
        <f>IF(RH_EQUIPA!B25&gt;0,RH_EQUIPA!C25,"")</f>
        <v>Roberto Lam</v>
      </c>
      <c r="B48" s="5"/>
      <c r="C48" s="36"/>
    </row>
    <row r="49" spans="1:3">
      <c r="A49" s="2" t="str">
        <f>IF(RH_EQUIPA!B26&gt;0,RH_EQUIPA!C26,"")</f>
        <v>Cristiano Cabrita</v>
      </c>
      <c r="B49" s="5"/>
      <c r="C49" s="36"/>
    </row>
    <row r="50" spans="1:3">
      <c r="A50" s="2" t="str">
        <f>IF(RH_EQUIPA!B27&gt;0,RH_EQUIPA!C27,"")</f>
        <v>Jaime Martins</v>
      </c>
      <c r="B50" s="5"/>
      <c r="C50" s="36"/>
    </row>
    <row r="51" spans="1:3">
      <c r="A51" s="2" t="str">
        <f>IF(RH_EQUIPA!B28&gt;0,RH_EQUIPA!C28,"")</f>
        <v>Paulo Silva</v>
      </c>
      <c r="B51" s="5"/>
      <c r="C51" s="36"/>
    </row>
    <row r="52" spans="1:3">
      <c r="A52" s="2" t="str">
        <f>IF(RH_EQUIPA!B29&gt;0,RH_EQUIPA!C29,"")</f>
        <v>João Rodrigues</v>
      </c>
      <c r="B52" s="5"/>
      <c r="C52" s="36"/>
    </row>
    <row r="53" spans="1:3">
      <c r="A53" s="2" t="str">
        <f>IF(RH_EQUIPA!B30&gt;0,RH_EQUIPA!C30,"")</f>
        <v>Joana Lessa</v>
      </c>
      <c r="B53" s="5"/>
      <c r="C53" s="36"/>
    </row>
    <row r="54" spans="1:3">
      <c r="A54" s="2" t="str">
        <f>IF(RH_EQUIPA!B31&gt;0,RH_EQUIPA!C31,"")</f>
        <v>José Moreira</v>
      </c>
      <c r="B54" s="5"/>
      <c r="C54" s="36"/>
    </row>
    <row r="55" spans="1:3">
      <c r="A55" s="2" t="str">
        <f>IF(RH_EQUIPA!B32&gt;0,RH_EQUIPA!C32,"")</f>
        <v>Joel Guerreiro</v>
      </c>
      <c r="B55" s="5"/>
      <c r="C55" s="36"/>
    </row>
    <row r="56" spans="1:3">
      <c r="A56" s="2" t="str">
        <f>IF(RH_EQUIPA!B33&gt;0,RH_EQUIPA!C33,"")</f>
        <v/>
      </c>
      <c r="B56" s="5"/>
      <c r="C56" s="36"/>
    </row>
    <row r="57" spans="1:3">
      <c r="A57" s="2" t="str">
        <f>IF(RH_EQUIPA!B34&gt;0,RH_EQUIPA!B34,"")</f>
        <v>B1</v>
      </c>
      <c r="B57" s="5"/>
      <c r="C57" s="36"/>
    </row>
    <row r="58" spans="1:3">
      <c r="A58" s="2" t="str">
        <f>IF(RH_EQUIPA!B35&gt;0,RH_EQUIPA!B35,"")</f>
        <v>B2</v>
      </c>
      <c r="B58" s="5"/>
      <c r="C58" s="36"/>
    </row>
    <row r="59" spans="1:3">
      <c r="A59" s="2" t="str">
        <f>IF(RH_EQUIPA!B36&gt;0,RH_EQUIPA!B36,"")</f>
        <v>B3</v>
      </c>
      <c r="B59" s="5"/>
      <c r="C59" s="36"/>
    </row>
    <row r="60" spans="1:3">
      <c r="A60" s="2" t="str">
        <f>IF(RH_EQUIPA!B37&gt;0,RH_EQUIPA!B37,"")</f>
        <v>B4</v>
      </c>
      <c r="B60" s="5"/>
      <c r="C60" s="36"/>
    </row>
    <row r="61" spans="1:3">
      <c r="A61" s="2" t="str">
        <f>IF(RH_EQUIPA!B38&gt;0,RH_EQUIPA!C38,"")</f>
        <v/>
      </c>
      <c r="B61" s="5"/>
      <c r="C61" s="36"/>
    </row>
    <row r="62" spans="1:3">
      <c r="A62" s="2" t="str">
        <f>IF(RH_EQUIPA!B39&gt;0,RH_EQUIPA!C39,"")</f>
        <v/>
      </c>
      <c r="B62" s="5"/>
      <c r="C62" s="36"/>
    </row>
    <row r="63" spans="1:3">
      <c r="B63" s="5"/>
      <c r="C63" s="36"/>
    </row>
    <row r="64" spans="1:3">
      <c r="B64" s="5"/>
      <c r="C64" s="36"/>
    </row>
    <row r="65" spans="2:3">
      <c r="B65" s="5"/>
      <c r="C65" s="36"/>
    </row>
    <row r="66" spans="2:3">
      <c r="B66" s="5"/>
      <c r="C66" s="36"/>
    </row>
    <row r="67" spans="2:3">
      <c r="B67" s="5"/>
      <c r="C67" s="36"/>
    </row>
    <row r="68" spans="2:3">
      <c r="B68" s="5"/>
      <c r="C68" s="36"/>
    </row>
    <row r="69" spans="2:3">
      <c r="B69" s="5"/>
      <c r="C69" s="36"/>
    </row>
    <row r="70" spans="2:3">
      <c r="B70" s="5"/>
      <c r="C70" s="36"/>
    </row>
    <row r="71" spans="2:3">
      <c r="B71" s="5"/>
      <c r="C71" s="36"/>
    </row>
    <row r="72" spans="2:3">
      <c r="B72" s="5"/>
      <c r="C72" s="36"/>
    </row>
    <row r="73" spans="2:3">
      <c r="B73" s="5"/>
      <c r="C73" s="36"/>
    </row>
    <row r="74" spans="2:3">
      <c r="B74" s="5"/>
      <c r="C74" s="36"/>
    </row>
    <row r="75" spans="2:3">
      <c r="B75" s="5"/>
    </row>
  </sheetData>
  <sortState ref="E6:E19">
    <sortCondition ref="E6:E19"/>
  </sortState>
  <dataConsolidate/>
  <phoneticPr fontId="3" type="noConversion"/>
  <pageMargins left="0.74803149606299213" right="0.74803149606299213" top="0.98425196850393704" bottom="0.98425196850393704" header="0" footer="0"/>
  <pageSetup paperSize="9" scale="98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e41cdc-37b2-4973-9f29-78f6d9d130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8737FCFC25BA448E7F6128D6B0652B" ma:contentTypeVersion="17" ma:contentTypeDescription="Criar um novo documento." ma:contentTypeScope="" ma:versionID="ca4c58ec210c9e9b83460af05b56d160">
  <xsd:schema xmlns:xsd="http://www.w3.org/2001/XMLSchema" xmlns:xs="http://www.w3.org/2001/XMLSchema" xmlns:p="http://schemas.microsoft.com/office/2006/metadata/properties" xmlns:ns3="3fe41cdc-37b2-4973-9f29-78f6d9d1304f" xmlns:ns4="cad9487b-15eb-466a-8486-8a751ec4762a" targetNamespace="http://schemas.microsoft.com/office/2006/metadata/properties" ma:root="true" ma:fieldsID="1684e5516dc9c31c01a0faccc930df7e" ns3:_="" ns4:_="">
    <xsd:import namespace="3fe41cdc-37b2-4973-9f29-78f6d9d1304f"/>
    <xsd:import namespace="cad9487b-15eb-466a-8486-8a751ec476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1cdc-37b2-4973-9f29-78f6d9d130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9487b-15eb-466a-8486-8a751ec47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98BBBB-8B0A-4759-8405-CE04A7304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A7FAEC-60AE-4105-B4F0-16A49025CB4E}">
  <ds:schemaRefs>
    <ds:schemaRef ds:uri="http://schemas.microsoft.com/office/2006/documentManagement/types"/>
    <ds:schemaRef ds:uri="http://purl.org/dc/terms/"/>
    <ds:schemaRef ds:uri="cad9487b-15eb-466a-8486-8a751ec4762a"/>
    <ds:schemaRef ds:uri="http://purl.org/dc/dcmitype/"/>
    <ds:schemaRef ds:uri="http://purl.org/dc/elements/1.1/"/>
    <ds:schemaRef ds:uri="3fe41cdc-37b2-4973-9f29-78f6d9d1304f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F6CFF34-6782-43D0-BA72-0E9EEA343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41cdc-37b2-4973-9f29-78f6d9d1304f"/>
    <ds:schemaRef ds:uri="cad9487b-15eb-466a-8486-8a751ec47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13</vt:i4>
      </vt:variant>
      <vt:variant>
        <vt:lpstr>Intervalos com nome</vt:lpstr>
      </vt:variant>
      <vt:variant>
        <vt:i4>7</vt:i4>
      </vt:variant>
    </vt:vector>
  </HeadingPairs>
  <TitlesOfParts>
    <vt:vector size="20" baseType="lpstr">
      <vt:lpstr>2.Equipa de Investigação</vt:lpstr>
      <vt:lpstr>RESUMO</vt:lpstr>
      <vt:lpstr>ATIVIDADES</vt:lpstr>
      <vt:lpstr>CRONOGRAMA</vt:lpstr>
      <vt:lpstr>RH_BOLSEIROS</vt:lpstr>
      <vt:lpstr>RH_CONTRATOS</vt:lpstr>
      <vt:lpstr>RH_EQUIPA</vt:lpstr>
      <vt:lpstr>RH_ETI_Atividade</vt:lpstr>
      <vt:lpstr>RH_ETI_QUADROS</vt:lpstr>
      <vt:lpstr>Equipamento</vt:lpstr>
      <vt:lpstr>BUDGET</vt:lpstr>
      <vt:lpstr>Orçamento</vt:lpstr>
      <vt:lpstr>Valores bolsas e 57_2016</vt:lpstr>
      <vt:lpstr>ATIVIDADES!Área_de_Impressão</vt:lpstr>
      <vt:lpstr>BUDGET!Área_de_Impressão</vt:lpstr>
      <vt:lpstr>Orçamento!Área_de_Impressão</vt:lpstr>
      <vt:lpstr>RESUMO!Área_de_Impressão</vt:lpstr>
      <vt:lpstr>Bolsas_de_Iniciação_Científica__BIC</vt:lpstr>
      <vt:lpstr>lista</vt:lpstr>
      <vt:lpstr>listaB</vt:lpstr>
    </vt:vector>
  </TitlesOfParts>
  <Manager/>
  <Company>Universidade do Algarve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Orçamento Candidaturas FCT 2017</dc:subject>
  <dc:creator>UAIC</dc:creator>
  <cp:keywords/>
  <dc:description/>
  <cp:lastModifiedBy>Ana Cristina Hurtado de Matos Coelho</cp:lastModifiedBy>
  <cp:revision/>
  <dcterms:created xsi:type="dcterms:W3CDTF">2008-05-15T09:46:34Z</dcterms:created>
  <dcterms:modified xsi:type="dcterms:W3CDTF">2025-09-19T14:31:21Z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0x010100278737FCFC25BA448E7F6128D6B0652B</vt:lpwstr>
  </property>
</Properties>
</file>